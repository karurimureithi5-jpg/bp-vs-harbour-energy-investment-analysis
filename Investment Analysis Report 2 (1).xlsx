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059C5AC-AE2F-48F8-9A44-AA4D5B96C259}" xr6:coauthVersionLast="47" xr6:coauthVersionMax="47" xr10:uidLastSave="{00000000-0000-0000-0000-000000000000}"/>
  <bookViews>
    <workbookView xWindow="28680" yWindow="-120" windowWidth="29040" windowHeight="15720" activeTab="3" xr2:uid="{638A7793-5A35-42E4-955F-60FDF1D94012}"/>
  </bookViews>
  <sheets>
    <sheet name="APPENDIX A" sheetId="1" r:id="rId1"/>
    <sheet name="APPENDIX B" sheetId="2" r:id="rId2"/>
    <sheet name="APPENDIX C" sheetId="3" r:id="rId3"/>
    <sheet name="APPENDIX D" sheetId="4" r:id="rId4"/>
    <sheet name="APPENDIX E" sheetId="5" r:id="rId5"/>
    <sheet name="APPENDIX F" sheetId="6" r:id="rId6"/>
    <sheet name="APPENDIX G" sheetId="7" r:id="rId7"/>
    <sheet name="APPENDIX H" sheetId="8" r:id="rId8"/>
    <sheet name="APPENDIX I" sheetId="9" r:id="rId9"/>
    <sheet name="APPENDIX J" sheetId="10" r:id="rId10"/>
    <sheet name="APPENDIX K" sheetId="11" r:id="rId1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<sst xmlns="http://schemas.openxmlformats.org/spreadsheetml/2006/main" count="512" uniqueCount="295">
  <si>
    <t>BP PLC</t>
  </si>
  <si>
    <t>Ratio</t>
  </si>
  <si>
    <t>Gross Profit Margin = Gross Profit ÷ Revenue</t>
  </si>
  <si>
    <t>Operating Profit Margin = EBIT ÷ Revenue</t>
  </si>
  <si>
    <t>Net Profit Margin = Net Income ÷ Revenue</t>
  </si>
  <si>
    <t>Return on Assets (ROA) = Net Income ÷ Total Assets</t>
  </si>
  <si>
    <t>Harbour Energy PLC</t>
  </si>
  <si>
    <t>Receivable Days = Trade Receivables ÷ Revenue × 365</t>
  </si>
  <si>
    <t>Inventory Days = Inventories ÷ Cost of Sales × 365</t>
  </si>
  <si>
    <t>Payable Days = Accounts Payable ÷ Cost of Sales × 365</t>
  </si>
  <si>
    <t>Cash Conversion Cycle = Rec. Days + Inv. Days – Pay. Days</t>
  </si>
  <si>
    <t>Current Ratio = Current Assets ÷ Current Liabilities</t>
  </si>
  <si>
    <t>1.22x</t>
  </si>
  <si>
    <t>1.15x</t>
  </si>
  <si>
    <t>1.09x</t>
  </si>
  <si>
    <t>1.21x</t>
  </si>
  <si>
    <t>1.25x</t>
  </si>
  <si>
    <t>Quick Ratio = (Current Assets – Inventories) ÷ Current Liabilities</t>
  </si>
  <si>
    <t>0.94x</t>
  </si>
  <si>
    <t>0.86x</t>
  </si>
  <si>
    <t>0.80x</t>
  </si>
  <si>
    <t>0.97x</t>
  </si>
  <si>
    <t>Super Quick Ratio = Cash &amp; Equivalents ÷ Current Liabilities</t>
  </si>
  <si>
    <t>0.52x</t>
  </si>
  <si>
    <t>0.38x</t>
  </si>
  <si>
    <t>0.29x</t>
  </si>
  <si>
    <t>0.48x</t>
  </si>
  <si>
    <t>1.24x</t>
  </si>
  <si>
    <t>0.56x</t>
  </si>
  <si>
    <t>0.77x</t>
  </si>
  <si>
    <t>0.70x</t>
  </si>
  <si>
    <t>0.51x</t>
  </si>
  <si>
    <t>0.66x</t>
  </si>
  <si>
    <t>0.63x</t>
  </si>
  <si>
    <t>0.43x</t>
  </si>
  <si>
    <t>0.17x</t>
  </si>
  <si>
    <t>0.12x</t>
  </si>
  <si>
    <t>0.14x</t>
  </si>
  <si>
    <t>Debt Ratio (%) = Total Liabilities ÷ Total Assets</t>
  </si>
  <si>
    <t>LT Debt to Capitalisation = LT Debt ÷ (LT Debt + Shareholders' Equity)</t>
  </si>
  <si>
    <t>0.49x</t>
  </si>
  <si>
    <t>0.44x</t>
  </si>
  <si>
    <t>0.41x</t>
  </si>
  <si>
    <t>0.42x</t>
  </si>
  <si>
    <t>Gearing (x) = Total Liabilities ÷ Shareholders' Equity</t>
  </si>
  <si>
    <t>2.56x</t>
  </si>
  <si>
    <t>2.61x</t>
  </si>
  <si>
    <t>3.04x</t>
  </si>
  <si>
    <t>2.77x</t>
  </si>
  <si>
    <t>3.44x</t>
  </si>
  <si>
    <t>Interest Coverage Ratio (x) = EBIT ÷ Net Finance Costs</t>
  </si>
  <si>
    <t>-6.99x</t>
  </si>
  <si>
    <t>6.33x</t>
  </si>
  <si>
    <t>6.70x</t>
  </si>
  <si>
    <t>7.18x</t>
  </si>
  <si>
    <t>2.45x</t>
  </si>
  <si>
    <t>0.72x</t>
  </si>
  <si>
    <t>0.88x</t>
  </si>
  <si>
    <t>0.62x</t>
  </si>
  <si>
    <t>0.00x</t>
  </si>
  <si>
    <t>7.88x</t>
  </si>
  <si>
    <t>29.63x</t>
  </si>
  <si>
    <t>11.30x</t>
  </si>
  <si>
    <t>5.38x</t>
  </si>
  <si>
    <t>3.84x</t>
  </si>
  <si>
    <t>-2.28x</t>
  </si>
  <si>
    <t>1.71x</t>
  </si>
  <si>
    <t>7.09x</t>
  </si>
  <si>
    <t>2.22x</t>
  </si>
  <si>
    <t>2.74x</t>
  </si>
  <si>
    <t>Ratio / Item</t>
  </si>
  <si>
    <t>Return on Equity (ROE) = Net Income ÷ Shareholders' Equity</t>
  </si>
  <si>
    <t>Diluted EPS (£) = From source data</t>
  </si>
  <si>
    <t>EPS Cross-Check = Net Income ÷ Diluted Shares Outstanding (m)</t>
  </si>
  <si>
    <t>Item / Ratio</t>
  </si>
  <si>
    <t>Market Price per Share (£) = From Valuation source data</t>
  </si>
  <si>
    <t>Diluted EPS (£) = From Income Statement source data</t>
  </si>
  <si>
    <t>P/E Ratio (x) = Price per Share ÷ Diluted EPS</t>
  </si>
  <si>
    <t>-0.54x</t>
  </si>
  <si>
    <t>2.03x</t>
  </si>
  <si>
    <t>-7.42x</t>
  </si>
  <si>
    <t>1.13x</t>
  </si>
  <si>
    <t>35.73x</t>
  </si>
  <si>
    <t>-0.23x</t>
  </si>
  <si>
    <t>44.25x</t>
  </si>
  <si>
    <t>304.00x</t>
  </si>
  <si>
    <t>61.80x</t>
  </si>
  <si>
    <t>-31.87x</t>
  </si>
  <si>
    <t>BP PLC – P/B &amp; Underlying Data (2020–2024)</t>
  </si>
  <si>
    <t>Item</t>
  </si>
  <si>
    <t>Shareholders' Equity (£m)</t>
  </si>
  <si>
    <t>Shares Outstanding – Diluted (m)</t>
  </si>
  <si>
    <t>Book Value per Share (£)</t>
  </si>
  <si>
    <t>Market Price per Share (£)</t>
  </si>
  <si>
    <t>P/B Ratio (x)</t>
  </si>
  <si>
    <t>0.16x</t>
  </si>
  <si>
    <t>0.20x</t>
  </si>
  <si>
    <t>0.27x</t>
  </si>
  <si>
    <t>0.25x</t>
  </si>
  <si>
    <t>0.23x</t>
  </si>
  <si>
    <t>Harbour Energy PLC – P/B &amp; Underlying Data (2020–2024)</t>
  </si>
  <si>
    <t>0.18x</t>
  </si>
  <si>
    <t>8.85x</t>
  </si>
  <si>
    <t>3.27x</t>
  </si>
  <si>
    <t>2.05x</t>
  </si>
  <si>
    <t>0.55x</t>
  </si>
  <si>
    <t>Market Cap – Cross-check (£m)</t>
  </si>
  <si>
    <t>Market Cap – Source (£m)</t>
  </si>
  <si>
    <t>Cash from Operating Activities (£m)</t>
  </si>
  <si>
    <t>P/CF Ratio (x)</t>
  </si>
  <si>
    <t>5.46x</t>
  </si>
  <si>
    <t>3.80x</t>
  </si>
  <si>
    <t>2.60x</t>
  </si>
  <si>
    <t>3.11x</t>
  </si>
  <si>
    <t>2.98x</t>
  </si>
  <si>
    <t>Harbour Energy</t>
  </si>
  <si>
    <t>2.79x</t>
  </si>
  <si>
    <t>1.02x</t>
  </si>
  <si>
    <t>1.38x</t>
  </si>
  <si>
    <t>3.42x</t>
  </si>
  <si>
    <t>APPENDIX B - EFFICIENCY RATIOS</t>
  </si>
  <si>
    <t>APPENDIX A - Profitability Ratios</t>
  </si>
  <si>
    <t>APPENDIX C - LIQUIDITY RATIOS</t>
  </si>
  <si>
    <t>APPENDIX D - SOLVENCY &amp; GEARING RATIOS</t>
  </si>
  <si>
    <t>APPENDIX E - INVESTOR RELATED RATIOS</t>
  </si>
  <si>
    <t>APPENDIX F - PRICE TO EARNINGS(P/E) RATIO</t>
  </si>
  <si>
    <t>APPENDIX G - PRICE TO BOOK RATIO(P/B)</t>
  </si>
  <si>
    <t>APPENDIX H - PRICE TO CASHFLOW(P/CF) RATIO</t>
  </si>
  <si>
    <t>BP PLC – EV Multiples (2020–2024)</t>
  </si>
  <si>
    <t>Multiple</t>
  </si>
  <si>
    <t>EV / EBIT (x)</t>
  </si>
  <si>
    <t>-5.10x</t>
  </si>
  <si>
    <t>6.83x</t>
  </si>
  <si>
    <t>7.07x</t>
  </si>
  <si>
    <t>4.34x</t>
  </si>
  <si>
    <t>9.02x</t>
  </si>
  <si>
    <t>EV / FCF (x)</t>
  </si>
  <si>
    <t>-771.30x</t>
  </si>
  <si>
    <t>9.71x</t>
  </si>
  <si>
    <t>4.44x</t>
  </si>
  <si>
    <t>6.74x</t>
  </si>
  <si>
    <t>8.61x</t>
  </si>
  <si>
    <t>Harbour Energy PLC – EV Build &amp; Multiples (2020–2024)</t>
  </si>
  <si>
    <t>Market Capitalisation (£m)</t>
  </si>
  <si>
    <t>Total Debt (£m) (ST + LT)</t>
  </si>
  <si>
    <t>Cash &amp; Equivalents (£m)</t>
  </si>
  <si>
    <t>Enterprise Value (EV) (£m)</t>
  </si>
  <si>
    <t>-3.54x</t>
  </si>
  <si>
    <t>11.51x</t>
  </si>
  <si>
    <t>1.73x</t>
  </si>
  <si>
    <t>2.89x</t>
  </si>
  <si>
    <t>3.48x</t>
  </si>
  <si>
    <t>3.16x</t>
  </si>
  <si>
    <t>1.75x</t>
  </si>
  <si>
    <t>1.86x</t>
  </si>
  <si>
    <t>-8.66x</t>
  </si>
  <si>
    <t>APPENDIX I</t>
  </si>
  <si>
    <t>BP PLC – Enterprise Value (£m)</t>
  </si>
  <si>
    <t>WACC \ Long-term Growth</t>
  </si>
  <si>
    <t>Harbour Energy PLC – Enterprise Value (£m)</t>
  </si>
  <si>
    <t>Enterprise Value (EV)</t>
  </si>
  <si>
    <t>£174,022m</t>
  </si>
  <si>
    <t>£26,457m</t>
  </si>
  <si>
    <t>Less: Net Debt (Total Debt – Cash)</t>
  </si>
  <si>
    <t>£17,314m</t>
  </si>
  <si>
    <t>£167m</t>
  </si>
  <si>
    <t>Equity Value</t>
  </si>
  <si>
    <t>£156,708m</t>
  </si>
  <si>
    <t>£26,290m</t>
  </si>
  <si>
    <t>Shares Outstanding (m)</t>
  </si>
  <si>
    <t>2,802.8m</t>
  </si>
  <si>
    <t>1,083.0m</t>
  </si>
  <si>
    <t>Implied Share Price</t>
  </si>
  <si>
    <t>£55.91</t>
  </si>
  <si>
    <t>£24.28</t>
  </si>
  <si>
    <t>Current Market Price (Dec 2024)</t>
  </si>
  <si>
    <t>£3.93</t>
  </si>
  <si>
    <t>£2.55</t>
  </si>
  <si>
    <t>Upside / (Downside)</t>
  </si>
  <si>
    <t>Implied Share Price Analysis – Base Case (WACC = 9.0%, Terminal Growth = 1.5%)</t>
  </si>
  <si>
    <t>BP PLC – Balance Sheet Data (2020–2024) (£m)</t>
  </si>
  <si>
    <t>Total Assets</t>
  </si>
  <si>
    <t>Current Assets</t>
  </si>
  <si>
    <t>Non-Current Assets</t>
  </si>
  <si>
    <t>Total Liabilities</t>
  </si>
  <si>
    <t>Current Liabilities</t>
  </si>
  <si>
    <t>Non-Current Liabilities</t>
  </si>
  <si>
    <t>Total Equity</t>
  </si>
  <si>
    <t>BP Shareholders Equity</t>
  </si>
  <si>
    <t>Non-Controlling Interests</t>
  </si>
  <si>
    <t>Cash &amp; Equivalents</t>
  </si>
  <si>
    <t>Total Debt</t>
  </si>
  <si>
    <t>Net Debt</t>
  </si>
  <si>
    <t>Inventories</t>
  </si>
  <si>
    <t>Trade Receivables</t>
  </si>
  <si>
    <t>Trade Payables</t>
  </si>
  <si>
    <t>PPE (Net)</t>
  </si>
  <si>
    <t>Goodwill</t>
  </si>
  <si>
    <t>Intangible Assets</t>
  </si>
  <si>
    <t>Harbour Energy PLC – Balance Sheet Data (2020–2024) (£m)</t>
  </si>
  <si>
    <t>BP PLC – Income Statement Data (2020–2024) (£m)</t>
  </si>
  <si>
    <t>Sales &amp; Other Operating Revenues</t>
  </si>
  <si>
    <t>Total Revenues &amp; Other Income</t>
  </si>
  <si>
    <t>Purchases</t>
  </si>
  <si>
    <t>Production &amp; Manufacturing Expenses</t>
  </si>
  <si>
    <t>Production &amp; Similar Taxes</t>
  </si>
  <si>
    <t>Depreciation, Depletion &amp; Amortisation</t>
  </si>
  <si>
    <t>Impairment &amp; Losses on Sale</t>
  </si>
  <si>
    <t>Exploration Expense</t>
  </si>
  <si>
    <t>Distribution &amp; Admin Expenses</t>
  </si>
  <si>
    <t>Finance Costs</t>
  </si>
  <si>
    <t>Profit/(Loss) Before Taxation</t>
  </si>
  <si>
    <t>Taxation</t>
  </si>
  <si>
    <t>Net Income (BP Shareholders)</t>
  </si>
  <si>
    <t>Basic EPS (£)</t>
  </si>
  <si>
    <t>Diluted EPS (£)</t>
  </si>
  <si>
    <t>Dividends Paid</t>
  </si>
  <si>
    <t>Harbour Energy PLC – Income Statement Data (2020–2024) (£m)</t>
  </si>
  <si>
    <t>Revenue</t>
  </si>
  <si>
    <t>Cost of Operations</t>
  </si>
  <si>
    <t>Gross Profit</t>
  </si>
  <si>
    <t>Exploration &amp; Evaluation Expenses</t>
  </si>
  <si>
    <t>Impairment of PPE</t>
  </si>
  <si>
    <t>General &amp; Administrative Expenses</t>
  </si>
  <si>
    <t>Exploration Costs Written-Off</t>
  </si>
  <si>
    <t>Operating Profit/(Loss)</t>
  </si>
  <si>
    <t>Finance Income</t>
  </si>
  <si>
    <t>Finance Expenses</t>
  </si>
  <si>
    <t>Income Tax Expense</t>
  </si>
  <si>
    <t>Net Income</t>
  </si>
  <si>
    <t>BP PLC – Cash Flow Statement Data (2020–2024) (£m)</t>
  </si>
  <si>
    <t>Net Cash from Operating Activities</t>
  </si>
  <si>
    <t>Expenditure on PPE, Intangible &amp; Other Assets</t>
  </si>
  <si>
    <t>Acquisitions, Net of Cash Acquired</t>
  </si>
  <si>
    <t>Investment in Joint Ventures</t>
  </si>
  <si>
    <t>Investment in Associates</t>
  </si>
  <si>
    <t>Proceeds from Disposals of Fixed Assets</t>
  </si>
  <si>
    <t>Proceeds from Disposal of Businesses</t>
  </si>
  <si>
    <t>Net Cash Used in Investing Activities</t>
  </si>
  <si>
    <t>Repurchase of Shares</t>
  </si>
  <si>
    <t>Lease Liability Payments</t>
  </si>
  <si>
    <t>Proceeds from Long-Term Financing</t>
  </si>
  <si>
    <t>Repayments of Long-Term Financing</t>
  </si>
  <si>
    <t>Issue of Perpetual Hybrid Bonds</t>
  </si>
  <si>
    <t>Dividends Paid to BP Shareholders</t>
  </si>
  <si>
    <t>Net Cash from/(Used in) Financing Activities</t>
  </si>
  <si>
    <t>Cash at Beginning of Year</t>
  </si>
  <si>
    <t>Cash at End of Year</t>
  </si>
  <si>
    <t>Harbour Energy PLC – Cash Flow Statement Data (2020–2024) (£m)</t>
  </si>
  <si>
    <t>Net Cash Inflow from Operating Activities</t>
  </si>
  <si>
    <t>Expenditure on Exploration &amp; Evaluation</t>
  </si>
  <si>
    <t>Expenditure on PPE</t>
  </si>
  <si>
    <t>Expenditure on Non-Oil &amp; Gas Intangible Assets</t>
  </si>
  <si>
    <t>Acquisition of Subsidiaries</t>
  </si>
  <si>
    <t>Finance Income Received</t>
  </si>
  <si>
    <t>Net Cash Outflow from Investing Activities</t>
  </si>
  <si>
    <t>Interest Paid &amp; Bank Charges</t>
  </si>
  <si>
    <t>Dividends Paid to Shareholders</t>
  </si>
  <si>
    <t>Repayment of Reserve Based Lending Facility</t>
  </si>
  <si>
    <t>Repayment of Revolving Credit Facility</t>
  </si>
  <si>
    <t>Proceeds from Bond Issuance</t>
  </si>
  <si>
    <t>Proceeds from New Borrowings</t>
  </si>
  <si>
    <t>Payments of Lease Liabilities</t>
  </si>
  <si>
    <t>Cash at 1 January</t>
  </si>
  <si>
    <t>Cash at 31 December</t>
  </si>
  <si>
    <t>APPENDIX J - DCF SENSITIVITY ANALYSIS</t>
  </si>
  <si>
    <t>Company</t>
  </si>
  <si>
    <t>Gross Profit Margin</t>
  </si>
  <si>
    <t>Operating Profit Margin</t>
  </si>
  <si>
    <t>Net Profit Margin</t>
  </si>
  <si>
    <t>Return on Assets (ROA)</t>
  </si>
  <si>
    <t>Receivable Days</t>
  </si>
  <si>
    <t>Inventory Days</t>
  </si>
  <si>
    <t>Payable Days</t>
  </si>
  <si>
    <t>Cash Conversion Cycle</t>
  </si>
  <si>
    <t>Current Ratio</t>
  </si>
  <si>
    <t>Quick Ratio</t>
  </si>
  <si>
    <t>Super Quick Ratio</t>
  </si>
  <si>
    <t>LT Debt to Capitalisation</t>
  </si>
  <si>
    <t>Gearing</t>
  </si>
  <si>
    <t>Interest Coverage Ratio</t>
  </si>
  <si>
    <t>Debt Ratios</t>
  </si>
  <si>
    <t>Return on Equity</t>
  </si>
  <si>
    <t>Table 1: Return on Equity (ROE)</t>
  </si>
  <si>
    <t>Table 2: Diluted EPS (£)</t>
  </si>
  <si>
    <t>Table 1: Market Price per Share (£)</t>
  </si>
  <si>
    <t>Table 2: P/E Ratio</t>
  </si>
  <si>
    <t>P/E Ratio</t>
  </si>
  <si>
    <t>P/B Ratio (Price to Book Ratio)</t>
  </si>
  <si>
    <t>P/B Ratio</t>
  </si>
  <si>
    <t>P/CF Ratio (Price to Cashflow Ratio)</t>
  </si>
  <si>
    <t>P/CF Ratio</t>
  </si>
  <si>
    <t>EV Multiples (BP PLC &amp; Harbour Energy PLC)</t>
  </si>
  <si>
    <t>EV / EBIT</t>
  </si>
  <si>
    <t>EV / 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</si>
</sst>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3" fontId="0" fillId="0" borderId="0" xfId="0" applyNumberFormat="1"/>
    <xf numFmtId="0" fontId="1" fillId="0" borderId="0" xfId="0" applyFont="1"/>
    <xf numFmtId="0" fontId="2" fillId="0" borderId="0" xfId="0" applyFont="1"/>
    <xf numFmtId="9" fontId="0" fillId="0" borderId="0" xfId="0" applyNumberFormat="1"/>
    <xf numFmtId="1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Profitability</a:t>
            </a:r>
            <a:r>
              <a:rPr lang="en-US" b="1" baseline="0"/>
              <a:t> Ratios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A'!$A$22:$B$22</c:f>
              <c:strCache>
                <c:ptCount val="2"/>
                <c:pt idx="0">
                  <c:v>BP PLC</c:v>
                </c:pt>
                <c:pt idx="1">
                  <c:v>Gross Profit Margin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A'!$C$22:$G$22</c:f>
              <c:numCache>
                <c:formatCode>0.00%</c:formatCode>
                <c:ptCount val="5"/>
                <c:pt idx="0">
                  <c:v>0.45550000000000002</c:v>
                </c:pt>
                <c:pt idx="1">
                  <c:v>0.41089999999999999</c:v>
                </c:pt>
                <c:pt idx="2">
                  <c:v>0.41570000000000001</c:v>
                </c:pt>
                <c:pt idx="3">
                  <c:v>0.43219999999999997</c:v>
                </c:pt>
                <c:pt idx="4">
                  <c:v>0.3977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9E-4B93-AA9C-DB9CDFADE6F4}"/>
            </c:ext>
          </c:extLst>
        </c:ser>
        <c:ser>
          <c:idx val="1"/>
          <c:order val="1"/>
          <c:tx>
            <c:strRef>
              <c:f>'APPENDIX A'!$A$23:$B$23</c:f>
              <c:strCache>
                <c:ptCount val="2"/>
                <c:pt idx="0">
                  <c:v>BP PLC</c:v>
                </c:pt>
                <c:pt idx="1">
                  <c:v>Operating Profit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A'!$C$23:$G$23</c:f>
              <c:numCache>
                <c:formatCode>0.00%</c:formatCode>
                <c:ptCount val="5"/>
                <c:pt idx="0">
                  <c:v>-0.20549999999999999</c:v>
                </c:pt>
                <c:pt idx="1">
                  <c:v>0.11459999999999999</c:v>
                </c:pt>
                <c:pt idx="2">
                  <c:v>7.4999999999999997E-2</c:v>
                </c:pt>
                <c:pt idx="3">
                  <c:v>0.1313</c:v>
                </c:pt>
                <c:pt idx="4">
                  <c:v>6.0600000000000001E-2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9E-4B93-AA9C-DB9CDFADE6F4}"/>
            </c:ext>
          </c:extLst>
        </c:ser>
        <c:ser>
          <c:idx val="2"/>
          <c:order val="2"/>
          <c:tx>
            <c:strRef>
              <c:f>'APPENDIX A'!$A$24:$B$24</c:f>
              <c:strCache>
                <c:ptCount val="2"/>
                <c:pt idx="0">
                  <c:v>BP PLC</c:v>
                </c:pt>
                <c:pt idx="1">
                  <c:v>Net 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A'!$C$24:$G$24</c:f>
              <c:numCache>
                <c:formatCode>0.00%</c:formatCode>
                <c:ptCount val="5"/>
                <c:pt idx="0">
                  <c:v>-0.19170000000000001</c:v>
                </c:pt>
                <c:pt idx="1">
                  <c:v>4.7899999999999998E-2</c:v>
                </c:pt>
                <c:pt idx="2">
                  <c:v>-1.03E-2</c:v>
                </c:pt>
                <c:pt idx="3">
                  <c:v>7.2499999999999995E-2</c:v>
                </c:pt>
                <c:pt idx="4">
                  <c:v>2.0999999999999999E-3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9E-4B93-AA9C-DB9CDFADE6F4}"/>
            </c:ext>
          </c:extLst>
        </c:ser>
        <c:ser>
          <c:idx val="3"/>
          <c:order val="3"/>
          <c:tx>
            <c:strRef>
              <c:f>'APPENDIX A'!$A$25:$B$25</c:f>
              <c:strCache>
                <c:ptCount val="2"/>
                <c:pt idx="0">
                  <c:v>BP PLC</c:v>
                </c:pt>
                <c:pt idx="1">
                  <c:v>Return on Assets (ROA)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A'!$C$25:$G$25</c:f>
              <c:numCache>
                <c:formatCode>0.00%</c:formatCode>
                <c:ptCount val="5"/>
                <c:pt idx="0">
                  <c:v>-8.09E-2</c:v>
                </c:pt>
                <c:pt idx="1">
                  <c:v>2.5899999999999999E-2</c:v>
                </c:pt>
                <c:pt idx="2">
                  <c:v>-8.5000000000000006E-3</c:v>
                </c:pt>
                <c:pt idx="3">
                  <c:v>5.57E-2</c:v>
                </c:pt>
                <c:pt idx="4">
                  <c:v>1.4E-3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9E-4B93-AA9C-DB9CDFADE6F4}"/>
            </c:ext>
          </c:extLst>
        </c:ser>
        <c:ser>
          <c:idx val="4"/>
          <c:order val="4"/>
          <c:tx>
            <c:strRef>
              <c:f>'APPENDIX A'!$A$26:$B$26</c:f>
              <c:strCache>
                <c:ptCount val="2"/>
                <c:pt idx="0">
                  <c:v>Harbour Energy PLC</c:v>
                </c:pt>
                <c:pt idx="1">
                  <c:v>Gross Profit Margin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A'!$C$26:$G$26</c:f>
              <c:numCache>
                <c:formatCode>0.00%</c:formatCode>
                <c:ptCount val="5"/>
                <c:pt idx="0">
                  <c:v>0.23469999999999999</c:v>
                </c:pt>
                <c:pt idx="1">
                  <c:v>0.29480000000000001</c:v>
                </c:pt>
                <c:pt idx="2">
                  <c:v>0.47220000000000001</c:v>
                </c:pt>
                <c:pt idx="3">
                  <c:v>0.3604</c:v>
                </c:pt>
                <c:pt idx="4">
                  <c:v>0.4133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9E-4B93-AA9C-DB9CDFADE6F4}"/>
            </c:ext>
          </c:extLst>
        </c:ser>
        <c:ser>
          <c:idx val="5"/>
          <c:order val="5"/>
          <c:tx>
            <c:strRef>
              <c:f>'APPENDIX A'!$A$27:$B$27</c:f>
              <c:strCache>
                <c:ptCount val="2"/>
                <c:pt idx="0">
                  <c:v>Harbour Energy PLC</c:v>
                </c:pt>
                <c:pt idx="1">
                  <c:v>Operating Profit Margin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A'!$C$27:$G$27</c:f>
              <c:numCache>
                <c:formatCode>0.00%</c:formatCode>
                <c:ptCount val="5"/>
                <c:pt idx="0">
                  <c:v>-0.2848</c:v>
                </c:pt>
                <c:pt idx="1">
                  <c:v>0.18410000000000001</c:v>
                </c:pt>
                <c:pt idx="2">
                  <c:v>0.47139999999999999</c:v>
                </c:pt>
                <c:pt idx="3">
                  <c:v>0.25090000000000001</c:v>
                </c:pt>
                <c:pt idx="4">
                  <c:v>0.2676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9E-4B93-AA9C-DB9CDFADE6F4}"/>
            </c:ext>
          </c:extLst>
        </c:ser>
        <c:ser>
          <c:idx val="6"/>
          <c:order val="6"/>
          <c:tx>
            <c:strRef>
              <c:f>'APPENDIX A'!$A$28:$B$28</c:f>
              <c:strCache>
                <c:ptCount val="2"/>
                <c:pt idx="0">
                  <c:v>Harbour Energy PLC</c:v>
                </c:pt>
                <c:pt idx="1">
                  <c:v>Net Profit Margin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A'!$C$28:$G$28</c:f>
              <c:numCache>
                <c:formatCode>0.00%</c:formatCode>
                <c:ptCount val="5"/>
                <c:pt idx="0">
                  <c:v>-0.32250000000000001</c:v>
                </c:pt>
                <c:pt idx="1">
                  <c:v>2.9100000000000001E-2</c:v>
                </c:pt>
                <c:pt idx="2">
                  <c:v>1.5E-3</c:v>
                </c:pt>
                <c:pt idx="3">
                  <c:v>1.21E-2</c:v>
                </c:pt>
                <c:pt idx="4">
                  <c:v>-1.7500000000000002E-2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9E-4B93-AA9C-DB9CDFADE6F4}"/>
            </c:ext>
          </c:extLst>
        </c:ser>
        <c:ser>
          <c:idx val="7"/>
          <c:order val="7"/>
          <c:tx>
            <c:strRef>
              <c:f>'APPENDIX A'!$A$29:$B$29</c:f>
              <c:strCache>
                <c:ptCount val="2"/>
                <c:pt idx="0">
                  <c:v>Harbour Energy PLC</c:v>
                </c:pt>
                <c:pt idx="1">
                  <c:v>Return on Assets (ROA)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'APPENDIX A'!$C$21:$G$21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A'!$C$29:$G$29</c:f>
              <c:numCache>
                <c:formatCode>0.00%</c:formatCode>
                <c:ptCount val="5"/>
                <c:pt idx="0">
                  <c:v>-8.7499999999999994E-2</c:v>
                </c:pt>
                <c:pt idx="1">
                  <c:v>6.8999999999999999E-3</c:v>
                </c:pt>
                <c:pt idx="2">
                  <c:v>5.9999999999999995E-4</c:v>
                </c:pt>
                <c:pt idx="3">
                  <c:v>4.5999999999999999E-3</c:v>
                </c:pt>
                <c:pt idx="4">
                  <c:v>-3.5000000000000001E-3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9E-4B93-AA9C-DB9CDFADE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330272"/>
        <c:axId val="1285345392"/>
      </c:lineChart>
      <c:catAx>
        <c:axId val="128533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5345392"/>
        <c:crosses val="autoZero"/>
        <c:auto val="1"/>
        <c:lblAlgn val="ctr"/>
        <c:lblOffset val="100"/>
        <c:noMultiLvlLbl val="0"/>
      </c:catAx>
      <c:valAx>
        <c:axId val="128534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533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EFFICIENCY</a:t>
            </a:r>
            <a:r>
              <a:rPr lang="en-US" b="1" baseline="0"/>
              <a:t> RATIOS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B'!$A$23:$B$23</c:f>
              <c:strCache>
                <c:ptCount val="2"/>
                <c:pt idx="0">
                  <c:v>BP PLC</c:v>
                </c:pt>
                <c:pt idx="1">
                  <c:v>Receivable Days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B'!$C$23:$G$23</c:f>
              <c:numCache>
                <c:formatCode>General</c:formatCode>
                <c:ptCount val="5"/>
                <c:pt idx="0">
                  <c:v>41.8</c:v>
                </c:pt>
                <c:pt idx="1">
                  <c:v>52.5</c:v>
                </c:pt>
                <c:pt idx="2">
                  <c:v>43.5</c:v>
                </c:pt>
                <c:pt idx="3">
                  <c:v>42.7</c:v>
                </c:pt>
                <c:pt idx="4">
                  <c:v>42.7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02-433E-AE46-4A3A4BA57BEE}"/>
            </c:ext>
          </c:extLst>
        </c:ser>
        <c:ser>
          <c:idx val="1"/>
          <c:order val="1"/>
          <c:tx>
            <c:strRef>
              <c:f>'APPENDIX B'!$A$24:$B$24</c:f>
              <c:strCache>
                <c:ptCount val="2"/>
                <c:pt idx="0">
                  <c:v>BP PLC</c:v>
                </c:pt>
                <c:pt idx="1">
                  <c:v>Inventory Days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B'!$C$24:$G$24</c:f>
              <c:numCache>
                <c:formatCode>General</c:formatCode>
                <c:ptCount val="5"/>
                <c:pt idx="0">
                  <c:v>100.1</c:v>
                </c:pt>
                <c:pt idx="1">
                  <c:v>94.7</c:v>
                </c:pt>
                <c:pt idx="2">
                  <c:v>74</c:v>
                </c:pt>
                <c:pt idx="3">
                  <c:v>68.2</c:v>
                </c:pt>
                <c:pt idx="4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02-433E-AE46-4A3A4BA57BEE}"/>
            </c:ext>
          </c:extLst>
        </c:ser>
        <c:ser>
          <c:idx val="2"/>
          <c:order val="2"/>
          <c:tx>
            <c:strRef>
              <c:f>'APPENDIX B'!$A$25:$B$25</c:f>
              <c:strCache>
                <c:ptCount val="2"/>
                <c:pt idx="0">
                  <c:v>BP PLC</c:v>
                </c:pt>
                <c:pt idx="1">
                  <c:v>Payable Days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B'!$C$25:$G$25</c:f>
              <c:numCache>
                <c:formatCode>General</c:formatCode>
                <c:ptCount val="5"/>
                <c:pt idx="0">
                  <c:v>137.4</c:v>
                </c:pt>
                <c:pt idx="1">
                  <c:v>149</c:v>
                </c:pt>
                <c:pt idx="2">
                  <c:v>124.4</c:v>
                </c:pt>
                <c:pt idx="3">
                  <c:v>126.7</c:v>
                </c:pt>
                <c:pt idx="4">
                  <c:v>126.4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02-433E-AE46-4A3A4BA57BEE}"/>
            </c:ext>
          </c:extLst>
        </c:ser>
        <c:ser>
          <c:idx val="3"/>
          <c:order val="3"/>
          <c:tx>
            <c:strRef>
              <c:f>'APPENDIX B'!$A$26:$B$26</c:f>
              <c:strCache>
                <c:ptCount val="2"/>
                <c:pt idx="0">
                  <c:v>BP PLC</c:v>
                </c:pt>
                <c:pt idx="1">
                  <c:v>Cash Conversion Cycle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B'!$C$26:$G$26</c:f>
              <c:numCache>
                <c:formatCode>General</c:formatCode>
                <c:ptCount val="5"/>
                <c:pt idx="0">
                  <c:v>4.5</c:v>
                </c:pt>
                <c:pt idx="1">
                  <c:v>-1.8</c:v>
                </c:pt>
                <c:pt idx="2">
                  <c:v>-6.9</c:v>
                </c:pt>
                <c:pt idx="3">
                  <c:v>-15.8</c:v>
                </c:pt>
                <c:pt idx="4">
                  <c:v>-7.7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02-433E-AE46-4A3A4BA57BEE}"/>
            </c:ext>
          </c:extLst>
        </c:ser>
        <c:ser>
          <c:idx val="4"/>
          <c:order val="4"/>
          <c:tx>
            <c:strRef>
              <c:f>'APPENDIX B'!$A$27:$B$27</c:f>
              <c:strCache>
                <c:ptCount val="2"/>
                <c:pt idx="0">
                  <c:v>Harbour Energy PLC</c:v>
                </c:pt>
                <c:pt idx="1">
                  <c:v>Receivable Days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B'!$C$27:$G$27</c:f>
              <c:numCache>
                <c:formatCode>General</c:formatCode>
                <c:ptCount val="5"/>
                <c:pt idx="0">
                  <c:v>65.400000000000006</c:v>
                </c:pt>
                <c:pt idx="1">
                  <c:v>143.1</c:v>
                </c:pt>
                <c:pt idx="2">
                  <c:v>96.8</c:v>
                </c:pt>
                <c:pt idx="3">
                  <c:v>83.8</c:v>
                </c:pt>
                <c:pt idx="4">
                  <c:v>140.5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02-433E-AE46-4A3A4BA57BEE}"/>
            </c:ext>
          </c:extLst>
        </c:ser>
        <c:ser>
          <c:idx val="5"/>
          <c:order val="5"/>
          <c:tx>
            <c:strRef>
              <c:f>'APPENDIX B'!$A$28:$B$28</c:f>
              <c:strCache>
                <c:ptCount val="2"/>
                <c:pt idx="0">
                  <c:v>Harbour Energy PLC</c:v>
                </c:pt>
                <c:pt idx="1">
                  <c:v>Inventory Days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B'!$C$28:$G$28</c:f>
              <c:numCache>
                <c:formatCode>General</c:formatCode>
                <c:ptCount val="5"/>
                <c:pt idx="0">
                  <c:v>29.7</c:v>
                </c:pt>
                <c:pt idx="1">
                  <c:v>32</c:v>
                </c:pt>
                <c:pt idx="2">
                  <c:v>18.7</c:v>
                </c:pt>
                <c:pt idx="3">
                  <c:v>32.6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02-433E-AE46-4A3A4BA57BEE}"/>
            </c:ext>
          </c:extLst>
        </c:ser>
        <c:ser>
          <c:idx val="6"/>
          <c:order val="6"/>
          <c:tx>
            <c:strRef>
              <c:f>'APPENDIX B'!$A$29:$B$29</c:f>
              <c:strCache>
                <c:ptCount val="2"/>
                <c:pt idx="0">
                  <c:v>Harbour Energy PLC</c:v>
                </c:pt>
                <c:pt idx="1">
                  <c:v>Payable Days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B'!$C$29:$G$29</c:f>
              <c:numCache>
                <c:formatCode>General</c:formatCode>
                <c:ptCount val="5"/>
                <c:pt idx="0">
                  <c:v>100.1</c:v>
                </c:pt>
                <c:pt idx="1">
                  <c:v>132.1</c:v>
                </c:pt>
                <c:pt idx="2">
                  <c:v>163.5</c:v>
                </c:pt>
                <c:pt idx="3">
                  <c:v>137.30000000000001</c:v>
                </c:pt>
                <c:pt idx="4">
                  <c:v>181.1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02-433E-AE46-4A3A4BA57BEE}"/>
            </c:ext>
          </c:extLst>
        </c:ser>
        <c:ser>
          <c:idx val="7"/>
          <c:order val="7"/>
          <c:tx>
            <c:strRef>
              <c:f>'APPENDIX B'!$A$30:$B$30</c:f>
              <c:strCache>
                <c:ptCount val="2"/>
                <c:pt idx="0">
                  <c:v>Harbour Energy PLC</c:v>
                </c:pt>
                <c:pt idx="1">
                  <c:v>Cash Conversion Cycle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'APPENDIX B'!$C$22:$G$22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B'!$C$30:$G$30</c:f>
              <c:numCache>
                <c:formatCode>General</c:formatCode>
                <c:ptCount val="5"/>
                <c:pt idx="0">
                  <c:v>-5</c:v>
                </c:pt>
                <c:pt idx="1">
                  <c:v>43</c:v>
                </c:pt>
                <c:pt idx="2">
                  <c:v>-48</c:v>
                </c:pt>
                <c:pt idx="3">
                  <c:v>-20.9</c:v>
                </c:pt>
                <c:pt idx="4">
                  <c:v>-2.6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02-433E-AE46-4A3A4BA57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10784"/>
        <c:axId val="1286608192"/>
      </c:lineChart>
      <c:catAx>
        <c:axId val="128661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08192"/>
        <c:crosses val="autoZero"/>
        <c:auto val="1"/>
        <c:lblAlgn val="ctr"/>
        <c:lblOffset val="100"/>
        <c:noMultiLvlLbl val="0"/>
      </c:catAx>
      <c:valAx>
        <c:axId val="128660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1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Liquidity</a:t>
            </a:r>
            <a:r>
              <a:rPr lang="en-US" b="1" baseline="0"/>
              <a:t> Ratios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C'!$A$19:$B$19</c:f>
              <c:strCache>
                <c:ptCount val="2"/>
                <c:pt idx="0">
                  <c:v>BP PLC</c:v>
                </c:pt>
                <c:pt idx="1">
                  <c:v>Current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C'!$C$19:$G$19</c:f>
              <c:numCache>
                <c:formatCode>General</c:formatCode>
                <c:ptCount val="5"/>
                <c:pt idx="0">
                  <c:v>1.22</c:v>
                </c:pt>
                <c:pt idx="1">
                  <c:v>1.1499999999999999</c:v>
                </c:pt>
                <c:pt idx="2">
                  <c:v>1.0900000000000001</c:v>
                </c:pt>
                <c:pt idx="3">
                  <c:v>1.21</c:v>
                </c:pt>
                <c:pt idx="4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C-4B68-8BAB-C49CBAB467CD}"/>
            </c:ext>
          </c:extLst>
        </c:ser>
        <c:ser>
          <c:idx val="1"/>
          <c:order val="1"/>
          <c:tx>
            <c:strRef>
              <c:f>'APPENDIX C'!$A$20:$B$20</c:f>
              <c:strCache>
                <c:ptCount val="2"/>
                <c:pt idx="0">
                  <c:v>BP PLC</c:v>
                </c:pt>
                <c:pt idx="1">
                  <c:v>Quick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C'!$C$20:$G$20</c:f>
              <c:numCache>
                <c:formatCode>General</c:formatCode>
                <c:ptCount val="5"/>
                <c:pt idx="0">
                  <c:v>0.94</c:v>
                </c:pt>
                <c:pt idx="1">
                  <c:v>0.86</c:v>
                </c:pt>
                <c:pt idx="2">
                  <c:v>0.8</c:v>
                </c:pt>
                <c:pt idx="3">
                  <c:v>0.94</c:v>
                </c:pt>
                <c:pt idx="4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EC-4B68-8BAB-C49CBAB467CD}"/>
            </c:ext>
          </c:extLst>
        </c:ser>
        <c:ser>
          <c:idx val="2"/>
          <c:order val="2"/>
          <c:tx>
            <c:strRef>
              <c:f>'APPENDIX C'!$A$21:$B$21</c:f>
              <c:strCache>
                <c:ptCount val="2"/>
                <c:pt idx="0">
                  <c:v>BP PLC</c:v>
                </c:pt>
                <c:pt idx="1">
                  <c:v>Super Quick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C'!$C$21:$G$21</c:f>
              <c:numCache>
                <c:formatCode>General</c:formatCode>
                <c:ptCount val="5"/>
                <c:pt idx="0">
                  <c:v>0.52</c:v>
                </c:pt>
                <c:pt idx="1">
                  <c:v>0.38</c:v>
                </c:pt>
                <c:pt idx="2">
                  <c:v>0.28999999999999998</c:v>
                </c:pt>
                <c:pt idx="3">
                  <c:v>0.38</c:v>
                </c:pt>
                <c:pt idx="4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EC-4B68-8BAB-C49CBAB467CD}"/>
            </c:ext>
          </c:extLst>
        </c:ser>
        <c:ser>
          <c:idx val="3"/>
          <c:order val="3"/>
          <c:tx>
            <c:strRef>
              <c:f>'APPENDIX C'!$A$22:$B$22</c:f>
              <c:strCache>
                <c:ptCount val="2"/>
                <c:pt idx="0">
                  <c:v>Harbour Energy PLC</c:v>
                </c:pt>
                <c:pt idx="1">
                  <c:v>Current Ratio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C'!$C$22:$G$22</c:f>
              <c:numCache>
                <c:formatCode>General</c:formatCode>
                <c:ptCount val="5"/>
                <c:pt idx="0">
                  <c:v>1.24</c:v>
                </c:pt>
                <c:pt idx="1">
                  <c:v>0.56000000000000005</c:v>
                </c:pt>
                <c:pt idx="2">
                  <c:v>0.52</c:v>
                </c:pt>
                <c:pt idx="3">
                  <c:v>0.77</c:v>
                </c:pt>
                <c:pt idx="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EC-4B68-8BAB-C49CBAB467CD}"/>
            </c:ext>
          </c:extLst>
        </c:ser>
        <c:ser>
          <c:idx val="4"/>
          <c:order val="4"/>
          <c:tx>
            <c:strRef>
              <c:f>'APPENDIX C'!$A$23:$B$23</c:f>
              <c:strCache>
                <c:ptCount val="2"/>
                <c:pt idx="0">
                  <c:v>Harbour Energy PLC</c:v>
                </c:pt>
                <c:pt idx="1">
                  <c:v>Quick Ratio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C'!$C$23:$G$23</c:f>
              <c:numCache>
                <c:formatCode>General</c:formatCode>
                <c:ptCount val="5"/>
                <c:pt idx="0">
                  <c:v>1.0900000000000001</c:v>
                </c:pt>
                <c:pt idx="1">
                  <c:v>0.51</c:v>
                </c:pt>
                <c:pt idx="2">
                  <c:v>0.48</c:v>
                </c:pt>
                <c:pt idx="3">
                  <c:v>0.66</c:v>
                </c:pt>
                <c:pt idx="4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EC-4B68-8BAB-C49CBAB467CD}"/>
            </c:ext>
          </c:extLst>
        </c:ser>
        <c:ser>
          <c:idx val="5"/>
          <c:order val="5"/>
          <c:tx>
            <c:strRef>
              <c:f>'APPENDIX C'!$A$24:$B$24</c:f>
              <c:strCache>
                <c:ptCount val="2"/>
                <c:pt idx="0">
                  <c:v>Harbour Energy PLC</c:v>
                </c:pt>
                <c:pt idx="1">
                  <c:v>Super Quick 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C'!$C$18:$G$18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C'!$C$24:$G$24</c:f>
              <c:numCache>
                <c:formatCode>General</c:formatCode>
                <c:ptCount val="5"/>
                <c:pt idx="0">
                  <c:v>0.43</c:v>
                </c:pt>
                <c:pt idx="1">
                  <c:v>0.17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DEC-4B68-8BAB-C49CBAB46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21152"/>
        <c:axId val="1286639296"/>
      </c:lineChart>
      <c:catAx>
        <c:axId val="128662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39296"/>
        <c:crosses val="autoZero"/>
        <c:auto val="1"/>
        <c:lblAlgn val="ctr"/>
        <c:lblOffset val="100"/>
        <c:noMultiLvlLbl val="0"/>
      </c:catAx>
      <c:valAx>
        <c:axId val="128663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2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Gearing</a:t>
            </a:r>
            <a:r>
              <a:rPr lang="en-US" b="1" baseline="0"/>
              <a:t> Ratios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D'!$A$22:$B$22</c:f>
              <c:strCache>
                <c:ptCount val="2"/>
                <c:pt idx="0">
                  <c:v>BP PLC</c:v>
                </c:pt>
                <c:pt idx="1">
                  <c:v>LT Debt to Capitalisation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D'!$C$22:$G$22</c:f>
              <c:numCache>
                <c:formatCode>General</c:formatCode>
                <c:ptCount val="5"/>
                <c:pt idx="0">
                  <c:v>0.49</c:v>
                </c:pt>
                <c:pt idx="1">
                  <c:v>0.44</c:v>
                </c:pt>
                <c:pt idx="2">
                  <c:v>0.41</c:v>
                </c:pt>
                <c:pt idx="3">
                  <c:v>0.42</c:v>
                </c:pt>
                <c:pt idx="4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DD-404F-AA10-30F8C8A895FD}"/>
            </c:ext>
          </c:extLst>
        </c:ser>
        <c:ser>
          <c:idx val="1"/>
          <c:order val="1"/>
          <c:tx>
            <c:strRef>
              <c:f>'APPENDIX D'!$A$23:$B$23</c:f>
              <c:strCache>
                <c:ptCount val="2"/>
                <c:pt idx="0">
                  <c:v>BP PLC</c:v>
                </c:pt>
                <c:pt idx="1">
                  <c:v>Gearing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D'!$C$23:$G$23</c:f>
              <c:numCache>
                <c:formatCode>General</c:formatCode>
                <c:ptCount val="5"/>
                <c:pt idx="0">
                  <c:v>2.56</c:v>
                </c:pt>
                <c:pt idx="1">
                  <c:v>2.61</c:v>
                </c:pt>
                <c:pt idx="2">
                  <c:v>3.04</c:v>
                </c:pt>
                <c:pt idx="3">
                  <c:v>2.77</c:v>
                </c:pt>
                <c:pt idx="4">
                  <c:v>3.44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DD-404F-AA10-30F8C8A895FD}"/>
            </c:ext>
          </c:extLst>
        </c:ser>
        <c:ser>
          <c:idx val="2"/>
          <c:order val="2"/>
          <c:tx>
            <c:strRef>
              <c:f>'APPENDIX D'!$A$24:$B$24</c:f>
              <c:strCache>
                <c:ptCount val="2"/>
                <c:pt idx="0">
                  <c:v>BP PLC</c:v>
                </c:pt>
                <c:pt idx="1">
                  <c:v>Interest Coverage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D'!$C$24:$G$24</c:f>
              <c:numCache>
                <c:formatCode>General</c:formatCode>
                <c:ptCount val="5"/>
                <c:pt idx="0">
                  <c:v>-6.99</c:v>
                </c:pt>
                <c:pt idx="1">
                  <c:v>6.33</c:v>
                </c:pt>
                <c:pt idx="2">
                  <c:v>6.7</c:v>
                </c:pt>
                <c:pt idx="3">
                  <c:v>7.18</c:v>
                </c:pt>
                <c:pt idx="4">
                  <c:v>2.4500000000000002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DD-404F-AA10-30F8C8A895FD}"/>
            </c:ext>
          </c:extLst>
        </c:ser>
        <c:ser>
          <c:idx val="3"/>
          <c:order val="3"/>
          <c:tx>
            <c:strRef>
              <c:f>'APPENDIX D'!$A$25:$B$25</c:f>
              <c:strCache>
                <c:ptCount val="2"/>
                <c:pt idx="0">
                  <c:v>Harbour Energy PLC</c:v>
                </c:pt>
                <c:pt idx="1">
                  <c:v>LT Debt to Capitalisation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D'!$C$25:$G$25</c:f>
              <c:numCache>
                <c:formatCode>General</c:formatCode>
                <c:ptCount val="5"/>
                <c:pt idx="0">
                  <c:v>0.72</c:v>
                </c:pt>
                <c:pt idx="1">
                  <c:v>0.88</c:v>
                </c:pt>
                <c:pt idx="2">
                  <c:v>0.62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DD-404F-AA10-30F8C8A895FD}"/>
            </c:ext>
          </c:extLst>
        </c:ser>
        <c:ser>
          <c:idx val="4"/>
          <c:order val="4"/>
          <c:tx>
            <c:strRef>
              <c:f>'APPENDIX D'!$A$26:$B$26</c:f>
              <c:strCache>
                <c:ptCount val="2"/>
                <c:pt idx="0">
                  <c:v>Harbour Energy PLC</c:v>
                </c:pt>
                <c:pt idx="1">
                  <c:v>Gearing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D'!$C$26:$G$26</c:f>
              <c:numCache>
                <c:formatCode>General</c:formatCode>
                <c:ptCount val="5"/>
                <c:pt idx="0">
                  <c:v>7.88</c:v>
                </c:pt>
                <c:pt idx="1">
                  <c:v>29.63</c:v>
                </c:pt>
                <c:pt idx="2">
                  <c:v>11.3</c:v>
                </c:pt>
                <c:pt idx="3">
                  <c:v>5.38</c:v>
                </c:pt>
                <c:pt idx="4">
                  <c:v>3.84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DD-404F-AA10-30F8C8A895FD}"/>
            </c:ext>
          </c:extLst>
        </c:ser>
        <c:ser>
          <c:idx val="5"/>
          <c:order val="5"/>
          <c:tx>
            <c:strRef>
              <c:f>'APPENDIX D'!$A$27:$B$27</c:f>
              <c:strCache>
                <c:ptCount val="2"/>
                <c:pt idx="0">
                  <c:v>Harbour Energy PLC</c:v>
                </c:pt>
                <c:pt idx="1">
                  <c:v>Interest Coverage Ratio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D'!$C$21:$G$21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D'!$C$27:$G$27</c:f>
              <c:numCache>
                <c:formatCode>General</c:formatCode>
                <c:ptCount val="5"/>
                <c:pt idx="0">
                  <c:v>-2.2799999999999998</c:v>
                </c:pt>
                <c:pt idx="1">
                  <c:v>1.71</c:v>
                </c:pt>
                <c:pt idx="2">
                  <c:v>7.09</c:v>
                </c:pt>
                <c:pt idx="3">
                  <c:v>2.2200000000000002</c:v>
                </c:pt>
                <c:pt idx="4">
                  <c:v>2.74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6DD-404F-AA10-30F8C8A89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45344"/>
        <c:axId val="1286650960"/>
      </c:lineChart>
      <c:catAx>
        <c:axId val="12866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50960"/>
        <c:crosses val="autoZero"/>
        <c:auto val="1"/>
        <c:lblAlgn val="ctr"/>
        <c:lblOffset val="100"/>
        <c:noMultiLvlLbl val="0"/>
      </c:catAx>
      <c:valAx>
        <c:axId val="12866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Debt</a:t>
            </a:r>
            <a:r>
              <a:rPr lang="en-US" b="1" baseline="0"/>
              <a:t> Ratio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D'!$A$32:$B$32</c:f>
              <c:strCache>
                <c:ptCount val="2"/>
                <c:pt idx="0">
                  <c:v>BP PLC</c:v>
                </c:pt>
                <c:pt idx="1">
                  <c:v>Debt Ratios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D'!$C$31:$G$31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D'!$C$32:$G$32</c:f>
              <c:numCache>
                <c:formatCode>0.00%</c:formatCode>
                <c:ptCount val="5"/>
                <c:pt idx="0">
                  <c:v>0.68030000000000002</c:v>
                </c:pt>
                <c:pt idx="1">
                  <c:v>0.68520000000000003</c:v>
                </c:pt>
                <c:pt idx="2">
                  <c:v>0.71199999999999997</c:v>
                </c:pt>
                <c:pt idx="3">
                  <c:v>0.69499999999999995</c:v>
                </c:pt>
                <c:pt idx="4">
                  <c:v>0.72250000000000003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A-4E11-936B-815E9F28C4F9}"/>
            </c:ext>
          </c:extLst>
        </c:ser>
        <c:ser>
          <c:idx val="1"/>
          <c:order val="1"/>
          <c:tx>
            <c:strRef>
              <c:f>'APPENDIX D'!$A$33:$B$33</c:f>
              <c:strCache>
                <c:ptCount val="2"/>
                <c:pt idx="0">
                  <c:v>Harbour Energy PLC</c:v>
                </c:pt>
                <c:pt idx="1">
                  <c:v>Debt Ratios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D'!$C$31:$G$31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D'!$C$33:$G$33</c:f>
              <c:numCache>
                <c:formatCode>0.00%</c:formatCode>
                <c:ptCount val="5"/>
                <c:pt idx="0">
                  <c:v>0.88739999999999997</c:v>
                </c:pt>
                <c:pt idx="1">
                  <c:v>0.96740000000000004</c:v>
                </c:pt>
                <c:pt idx="2">
                  <c:v>0.91869999999999996</c:v>
                </c:pt>
                <c:pt idx="3">
                  <c:v>0.84340000000000004</c:v>
                </c:pt>
                <c:pt idx="4">
                  <c:v>0.79359999999999997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A-4E11-936B-815E9F28C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345168"/>
        <c:axId val="810346032"/>
      </c:lineChart>
      <c:catAx>
        <c:axId val="81034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10346032"/>
        <c:crosses val="autoZero"/>
        <c:auto val="1"/>
        <c:lblAlgn val="ctr"/>
        <c:lblOffset val="100"/>
        <c:noMultiLvlLbl val="0"/>
      </c:catAx>
      <c:valAx>
        <c:axId val="81034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1034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Return</a:t>
            </a:r>
            <a:r>
              <a:rPr lang="en-US" b="1" baseline="0"/>
              <a:t> on Equity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E'!$A$18:$B$18</c:f>
              <c:strCache>
                <c:ptCount val="2"/>
                <c:pt idx="0">
                  <c:v>BP PLC</c:v>
                </c:pt>
                <c:pt idx="1">
                  <c:v>Return on 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E'!$C$17:$G$17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E'!$C$18:$G$18</c:f>
              <c:numCache>
                <c:formatCode>0.00%</c:formatCode>
                <c:ptCount val="5"/>
                <c:pt idx="0">
                  <c:v>-0.3039</c:v>
                </c:pt>
                <c:pt idx="1">
                  <c:v>9.8599999999999993E-2</c:v>
                </c:pt>
                <c:pt idx="2">
                  <c:v>-3.6200000000000003E-2</c:v>
                </c:pt>
                <c:pt idx="3">
                  <c:v>0.222</c:v>
                </c:pt>
                <c:pt idx="4">
                  <c:v>6.4000000000000003E-3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31-46E6-8300-6FDC8AE6436D}"/>
            </c:ext>
          </c:extLst>
        </c:ser>
        <c:ser>
          <c:idx val="1"/>
          <c:order val="1"/>
          <c:tx>
            <c:strRef>
              <c:f>'APPENDIX E'!$A$19:$B$19</c:f>
              <c:strCache>
                <c:ptCount val="2"/>
                <c:pt idx="0">
                  <c:v>Harbour Energy PLC</c:v>
                </c:pt>
                <c:pt idx="1">
                  <c:v>Return on Equity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E'!$C$17:$G$17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E'!$C$19:$G$19</c:f>
              <c:numCache>
                <c:formatCode>0.00%</c:formatCode>
                <c:ptCount val="5"/>
                <c:pt idx="0">
                  <c:v>-0.77769999999999995</c:v>
                </c:pt>
                <c:pt idx="1">
                  <c:v>0.21010000000000001</c:v>
                </c:pt>
                <c:pt idx="2">
                  <c:v>7.9000000000000008E-3</c:v>
                </c:pt>
                <c:pt idx="3">
                  <c:v>2.9700000000000001E-2</c:v>
                </c:pt>
                <c:pt idx="4">
                  <c:v>-1.6899999999999998E-2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31-46E6-8300-6FDC8AE64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785120"/>
        <c:axId val="961785552"/>
      </c:lineChart>
      <c:catAx>
        <c:axId val="96178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1785552"/>
        <c:crosses val="autoZero"/>
        <c:auto val="1"/>
        <c:lblAlgn val="ctr"/>
        <c:lblOffset val="100"/>
        <c:noMultiLvlLbl val="0"/>
      </c:catAx>
      <c:valAx>
        <c:axId val="9617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178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Diluted</a:t>
            </a:r>
            <a:r>
              <a:rPr lang="en-US" b="1" baseline="0"/>
              <a:t> EPS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E'!$A$25:$B$25</c:f>
              <c:strCache>
                <c:ptCount val="2"/>
                <c:pt idx="0">
                  <c:v>BP PLC</c:v>
                </c:pt>
                <c:pt idx="1">
                  <c:v>Diluted EPS (£)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E'!$C$24:$G$24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E'!$C$25:$G$25</c:f>
              <c:numCache>
                <c:formatCode>General</c:formatCode>
                <c:ptCount val="5"/>
                <c:pt idx="0">
                  <c:v>-4.7</c:v>
                </c:pt>
                <c:pt idx="1">
                  <c:v>1.63</c:v>
                </c:pt>
                <c:pt idx="2">
                  <c:v>-0.64</c:v>
                </c:pt>
                <c:pt idx="3">
                  <c:v>4.1399999999999997</c:v>
                </c:pt>
                <c:pt idx="4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A-425A-9241-5A57264568C0}"/>
            </c:ext>
          </c:extLst>
        </c:ser>
        <c:ser>
          <c:idx val="1"/>
          <c:order val="1"/>
          <c:tx>
            <c:strRef>
              <c:f>'APPENDIX E'!$A$26:$B$26</c:f>
              <c:strCache>
                <c:ptCount val="2"/>
                <c:pt idx="0">
                  <c:v>Harbour Energy PLC</c:v>
                </c:pt>
                <c:pt idx="1">
                  <c:v>Diluted EPS (£)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E'!$C$24:$G$24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E'!$C$26:$G$26</c:f>
              <c:numCache>
                <c:formatCode>General</c:formatCode>
                <c:ptCount val="5"/>
                <c:pt idx="0">
                  <c:v>-17.22</c:v>
                </c:pt>
                <c:pt idx="1">
                  <c:v>0.08</c:v>
                </c:pt>
                <c:pt idx="2">
                  <c:v>0.01</c:v>
                </c:pt>
                <c:pt idx="3">
                  <c:v>0.05</c:v>
                </c:pt>
                <c:pt idx="4">
                  <c:v>-0.08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4A-425A-9241-5A5726456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405744"/>
        <c:axId val="1626404880"/>
      </c:lineChart>
      <c:catAx>
        <c:axId val="162640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26404880"/>
        <c:crosses val="autoZero"/>
        <c:auto val="1"/>
        <c:lblAlgn val="ctr"/>
        <c:lblOffset val="100"/>
        <c:noMultiLvlLbl val="0"/>
      </c:catAx>
      <c:valAx>
        <c:axId val="16264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6264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</a:t>
            </a:r>
            <a:r>
              <a:rPr lang="en-US" baseline="0"/>
              <a:t> Price per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F'!$A$19:$B$19</c:f>
              <c:strCache>
                <c:ptCount val="2"/>
                <c:pt idx="0">
                  <c:v>BP PLC</c:v>
                </c:pt>
                <c:pt idx="1">
                  <c:v>Market Price per Share (£)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F'!$C$18:$G$18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F'!$C$19:$G$19</c:f>
              <c:numCache>
                <c:formatCode>General</c:formatCode>
                <c:ptCount val="5"/>
                <c:pt idx="0">
                  <c:v>2.5499999999999998</c:v>
                </c:pt>
                <c:pt idx="1">
                  <c:v>3.31</c:v>
                </c:pt>
                <c:pt idx="2">
                  <c:v>4.75</c:v>
                </c:pt>
                <c:pt idx="3">
                  <c:v>4.66</c:v>
                </c:pt>
                <c:pt idx="4">
                  <c:v>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9-45CC-A840-1F8FAD7264EA}"/>
            </c:ext>
          </c:extLst>
        </c:ser>
        <c:ser>
          <c:idx val="1"/>
          <c:order val="1"/>
          <c:tx>
            <c:strRef>
              <c:f>'APPENDIX F'!$A$20:$B$20</c:f>
              <c:strCache>
                <c:ptCount val="2"/>
                <c:pt idx="0">
                  <c:v>Harbour Energy PLC</c:v>
                </c:pt>
                <c:pt idx="1">
                  <c:v>Market Price per Share (£)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F'!$C$18:$G$18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F'!$C$20:$G$20</c:f>
              <c:numCache>
                <c:formatCode>General</c:formatCode>
                <c:ptCount val="5"/>
                <c:pt idx="0">
                  <c:v>3.93</c:v>
                </c:pt>
                <c:pt idx="1">
                  <c:v>3.54</c:v>
                </c:pt>
                <c:pt idx="2">
                  <c:v>3.04</c:v>
                </c:pt>
                <c:pt idx="3">
                  <c:v>3.09</c:v>
                </c:pt>
                <c:pt idx="4">
                  <c:v>2.5499999999999998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89-45CC-A840-1F8FAD726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963232"/>
        <c:axId val="1318962368"/>
      </c:lineChart>
      <c:catAx>
        <c:axId val="131896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18962368"/>
        <c:crosses val="autoZero"/>
        <c:auto val="1"/>
        <c:lblAlgn val="ctr"/>
        <c:lblOffset val="100"/>
        <c:noMultiLvlLbl val="0"/>
      </c:catAx>
      <c:valAx>
        <c:axId val="13189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3189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P/E</a:t>
            </a:r>
            <a:r>
              <a:rPr lang="en-US" b="1" baseline="0"/>
              <a:t> Ratio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F'!$A$28:$B$28</c:f>
              <c:strCache>
                <c:ptCount val="2"/>
                <c:pt idx="0">
                  <c:v>BP PLC</c:v>
                </c:pt>
                <c:pt idx="1">
                  <c:v>P/E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F'!$C$27:$G$27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F'!$C$28:$G$28</c:f>
              <c:numCache>
                <c:formatCode>General</c:formatCode>
                <c:ptCount val="5"/>
                <c:pt idx="0">
                  <c:v>-0.54</c:v>
                </c:pt>
                <c:pt idx="1">
                  <c:v>2.0299999999999998</c:v>
                </c:pt>
                <c:pt idx="2">
                  <c:v>-7.42</c:v>
                </c:pt>
                <c:pt idx="3">
                  <c:v>1.1299999999999999</c:v>
                </c:pt>
                <c:pt idx="4">
                  <c:v>35.729999999999997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60-444F-9323-D2F5A863F219}"/>
            </c:ext>
          </c:extLst>
        </c:ser>
        <c:ser>
          <c:idx val="1"/>
          <c:order val="1"/>
          <c:tx>
            <c:strRef>
              <c:f>'APPENDIX F'!$A$29:$B$29</c:f>
              <c:strCache>
                <c:ptCount val="2"/>
                <c:pt idx="0">
                  <c:v>Harbour Energy PLC</c:v>
                </c:pt>
                <c:pt idx="1">
                  <c:v>P/E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F'!$C$27:$G$27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F'!$C$29:$G$29</c:f>
              <c:numCache>
                <c:formatCode>General</c:formatCode>
                <c:ptCount val="5"/>
                <c:pt idx="0">
                  <c:v>-0.23</c:v>
                </c:pt>
                <c:pt idx="1">
                  <c:v>44.25</c:v>
                </c:pt>
                <c:pt idx="2">
                  <c:v>304</c:v>
                </c:pt>
                <c:pt idx="3">
                  <c:v>61.8</c:v>
                </c:pt>
                <c:pt idx="4">
                  <c:v>-31.87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60-444F-9323-D2F5A863F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5385056"/>
        <c:axId val="655385920"/>
      </c:lineChart>
      <c:catAx>
        <c:axId val="65538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55385920"/>
        <c:crosses val="autoZero"/>
        <c:auto val="1"/>
        <c:lblAlgn val="ctr"/>
        <c:lblOffset val="100"/>
        <c:noMultiLvlLbl val="0"/>
      </c:catAx>
      <c:valAx>
        <c:axId val="65538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5538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P/B</a:t>
            </a:r>
            <a:r>
              <a:rPr lang="en-US" b="1" baseline="0"/>
              <a:t> Ratio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G'!$A$23:$B$23</c:f>
              <c:strCache>
                <c:ptCount val="2"/>
                <c:pt idx="0">
                  <c:v>BP PLC</c:v>
                </c:pt>
                <c:pt idx="1">
                  <c:v>P/B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G'!$C$22:$G$22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G'!$C$23:$G$23</c:f>
              <c:numCache>
                <c:formatCode>General</c:formatCode>
                <c:ptCount val="5"/>
                <c:pt idx="0">
                  <c:v>0.16</c:v>
                </c:pt>
                <c:pt idx="1">
                  <c:v>0.2</c:v>
                </c:pt>
                <c:pt idx="2">
                  <c:v>0.27</c:v>
                </c:pt>
                <c:pt idx="3">
                  <c:v>0.25</c:v>
                </c:pt>
                <c:pt idx="4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5-45B3-B258-6C3C1C7A4CA7}"/>
            </c:ext>
          </c:extLst>
        </c:ser>
        <c:ser>
          <c:idx val="1"/>
          <c:order val="1"/>
          <c:tx>
            <c:strRef>
              <c:f>'APPENDIX G'!$A$24:$B$24</c:f>
              <c:strCache>
                <c:ptCount val="2"/>
                <c:pt idx="0">
                  <c:v>Harbour Energy PLC</c:v>
                </c:pt>
                <c:pt idx="1">
                  <c:v>P/B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G'!$C$22:$G$22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G'!$C$24:$G$24</c:f>
              <c:numCache>
                <c:formatCode>General</c:formatCode>
                <c:ptCount val="5"/>
                <c:pt idx="0">
                  <c:v>0.18</c:v>
                </c:pt>
                <c:pt idx="1">
                  <c:v>8.85</c:v>
                </c:pt>
                <c:pt idx="2">
                  <c:v>3.27</c:v>
                </c:pt>
                <c:pt idx="3">
                  <c:v>2.0499999999999998</c:v>
                </c:pt>
                <c:pt idx="4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5-45B3-B258-6C3C1C7A4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5326816"/>
        <c:axId val="1285335024"/>
      </c:lineChart>
      <c:catAx>
        <c:axId val="128532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5335024"/>
        <c:crosses val="autoZero"/>
        <c:auto val="1"/>
        <c:lblAlgn val="ctr"/>
        <c:lblOffset val="100"/>
        <c:noMultiLvlLbl val="0"/>
      </c:catAx>
      <c:valAx>
        <c:axId val="12853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53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P/CF</a:t>
            </a:r>
            <a:r>
              <a:rPr lang="en-US" b="1" baseline="0"/>
              <a:t> Ratio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H'!$A$26:$B$26</c:f>
              <c:strCache>
                <c:ptCount val="2"/>
                <c:pt idx="0">
                  <c:v>BP PLC</c:v>
                </c:pt>
                <c:pt idx="1">
                  <c:v>P/CF 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H'!$C$25:$G$25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H'!$C$26:$G$26</c:f>
              <c:numCache>
                <c:formatCode>General</c:formatCode>
                <c:ptCount val="5"/>
                <c:pt idx="0">
                  <c:v>5.46</c:v>
                </c:pt>
                <c:pt idx="1">
                  <c:v>3.8</c:v>
                </c:pt>
                <c:pt idx="2">
                  <c:v>2.6</c:v>
                </c:pt>
                <c:pt idx="3">
                  <c:v>3.11</c:v>
                </c:pt>
                <c:pt idx="4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B-44F2-97FC-90BD645A54CA}"/>
            </c:ext>
          </c:extLst>
        </c:ser>
        <c:ser>
          <c:idx val="1"/>
          <c:order val="1"/>
          <c:tx>
            <c:strRef>
              <c:f>'APPENDIX H'!$A$27:$B$27</c:f>
              <c:strCache>
                <c:ptCount val="2"/>
                <c:pt idx="0">
                  <c:v>Harbour Energy PLC</c:v>
                </c:pt>
                <c:pt idx="1">
                  <c:v>P/CF Ratio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H'!$C$25:$G$25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H'!$C$27:$G$27</c:f>
              <c:numCache>
                <c:formatCode>General</c:formatCode>
                <c:ptCount val="5"/>
                <c:pt idx="0">
                  <c:v>0.17</c:v>
                </c:pt>
                <c:pt idx="1">
                  <c:v>2.79</c:v>
                </c:pt>
                <c:pt idx="2">
                  <c:v>1.02</c:v>
                </c:pt>
                <c:pt idx="3">
                  <c:v>1.38</c:v>
                </c:pt>
                <c:pt idx="4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B-44F2-97FC-90BD645A5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912448"/>
        <c:axId val="1454908128"/>
      </c:lineChart>
      <c:catAx>
        <c:axId val="145491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54908128"/>
        <c:crosses val="autoZero"/>
        <c:auto val="1"/>
        <c:lblAlgn val="ctr"/>
        <c:lblOffset val="100"/>
        <c:noMultiLvlLbl val="0"/>
      </c:catAx>
      <c:valAx>
        <c:axId val="145490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45491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EV</a:t>
            </a:r>
            <a:r>
              <a:rPr lang="en-US" b="1" baseline="0"/>
              <a:t> Multiples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I'!$A$22:$B$22</c:f>
              <c:strCache>
                <c:ptCount val="2"/>
                <c:pt idx="0">
                  <c:v>BP PLC</c:v>
                </c:pt>
                <c:pt idx="1">
                  <c:v>EV / EBIT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'APPENDIX I'!$C$20:$F$21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'APPENDIX I'!$C$22:$F$22</c:f>
              <c:numCache>
                <c:formatCode>General</c:formatCode>
                <c:ptCount val="4"/>
                <c:pt idx="0">
                  <c:v>6.83</c:v>
                </c:pt>
                <c:pt idx="1">
                  <c:v>7.07</c:v>
                </c:pt>
                <c:pt idx="2">
                  <c:v>4.34</c:v>
                </c:pt>
                <c:pt idx="3">
                  <c:v>9.02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F-4538-AA89-6C23D51CE8C3}"/>
            </c:ext>
          </c:extLst>
        </c:ser>
        <c:ser>
          <c:idx val="1"/>
          <c:order val="1"/>
          <c:tx>
            <c:strRef>
              <c:f>'APPENDIX I'!$A$23:$B$23</c:f>
              <c:strCache>
                <c:ptCount val="2"/>
                <c:pt idx="0">
                  <c:v>BP PLC</c:v>
                </c:pt>
                <c:pt idx="1">
                  <c:v>EV / FCF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'APPENDIX I'!$C$20:$F$21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'APPENDIX I'!$C$23:$F$23</c:f>
              <c:numCache>
                <c:formatCode>General</c:formatCode>
                <c:ptCount val="4"/>
                <c:pt idx="0">
                  <c:v>9.7100000000000009</c:v>
                </c:pt>
                <c:pt idx="1">
                  <c:v>4.4400000000000004</c:v>
                </c:pt>
                <c:pt idx="2">
                  <c:v>6.74</c:v>
                </c:pt>
                <c:pt idx="3">
                  <c:v>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8F-4538-AA89-6C23D51CE8C3}"/>
            </c:ext>
          </c:extLst>
        </c:ser>
        <c:ser>
          <c:idx val="2"/>
          <c:order val="2"/>
          <c:tx>
            <c:strRef>
              <c:f>'APPENDIX I'!$A$24:$B$24</c:f>
              <c:strCache>
                <c:ptCount val="2"/>
                <c:pt idx="0">
                  <c:v>Harbour Energy PLC</c:v>
                </c:pt>
                <c:pt idx="1">
                  <c:v>EV / EBIT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'APPENDIX I'!$C$20:$F$21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'APPENDIX I'!$C$24:$F$24</c:f>
              <c:numCache>
                <c:formatCode>General</c:formatCode>
                <c:ptCount val="4"/>
                <c:pt idx="0">
                  <c:v>11.51</c:v>
                </c:pt>
                <c:pt idx="1">
                  <c:v>1.73</c:v>
                </c:pt>
                <c:pt idx="2">
                  <c:v>2.89</c:v>
                </c:pt>
                <c:pt idx="3">
                  <c:v>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8F-4538-AA89-6C23D51CE8C3}"/>
            </c:ext>
          </c:extLst>
        </c:ser>
        <c:ser>
          <c:idx val="3"/>
          <c:order val="3"/>
          <c:tx>
            <c:strRef>
              <c:f>'APPENDIX I'!$A$25:$B$25</c:f>
              <c:strCache>
                <c:ptCount val="2"/>
                <c:pt idx="0">
                  <c:v>Harbour Energy PLC</c:v>
                </c:pt>
                <c:pt idx="1">
                  <c:v>EV / FCF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'APPENDIX I'!$C$20:$F$21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'APPENDIX I'!$C$25:$F$25</c:f>
              <c:numCache>
                <c:formatCode>General</c:formatCode>
                <c:ptCount val="4"/>
                <c:pt idx="0">
                  <c:v>7.07</c:v>
                </c:pt>
                <c:pt idx="1">
                  <c:v>1.75</c:v>
                </c:pt>
                <c:pt idx="2">
                  <c:v>1.86</c:v>
                </c:pt>
                <c:pt idx="3">
                  <c:v>-8.66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8F-4538-AA89-6C23D51CE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62192"/>
        <c:axId val="1286657872"/>
      </c:lineChart>
      <c:catAx>
        <c:axId val="128666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57872"/>
        <c:crosses val="autoZero"/>
        <c:auto val="1"/>
        <c:lblAlgn val="ctr"/>
        <c:lblOffset val="100"/>
        <c:noMultiLvlLbl val="0"/>
      </c:catAx>
      <c:valAx>
        <c:axId val="128665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6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Harbour Energy PLC – Enterprise Value (£m) </a:t>
            </a:r>
            <a:endParaRPr lang="en-US" b="1"/>
          </a:p>
        </c:rich>
      </c:tx>
      <c:layout>
        <c:manualLayout>
          <c:xMode val="edge"/>
          <c:yMode val="edge"/>
          <c:x val="0.19710538855546755"/>
          <c:y val="2.28028469444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J'!$B$17</c:f>
              <c:strCache>
                <c:ptCount val="1"/>
                <c:pt idx="0">
                  <c:v>0.00%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J'!$B$18:$B$24</c:f>
              <c:numCache>
                <c:formatCode>#,##0</c:formatCode>
                <c:ptCount val="7"/>
                <c:pt idx="0">
                  <c:v>34973</c:v>
                </c:pt>
                <c:pt idx="1">
                  <c:v>29869</c:v>
                </c:pt>
                <c:pt idx="2">
                  <c:v>26044</c:v>
                </c:pt>
                <c:pt idx="3">
                  <c:v>23072</c:v>
                </c:pt>
                <c:pt idx="4">
                  <c:v>20697</c:v>
                </c:pt>
                <c:pt idx="5">
                  <c:v>18756</c:v>
                </c:pt>
                <c:pt idx="6">
                  <c:v>17140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28-4274-B123-04CC8881B39B}"/>
            </c:ext>
          </c:extLst>
        </c:ser>
        <c:ser>
          <c:idx val="1"/>
          <c:order val="1"/>
          <c:tx>
            <c:strRef>
              <c:f>'APPENDIX J'!$C$17</c:f>
              <c:strCache>
                <c:ptCount val="1"/>
                <c:pt idx="0">
                  <c:v>0.50%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J'!$C$18:$C$24</c:f>
              <c:numCache>
                <c:formatCode>#,##0</c:formatCode>
                <c:ptCount val="7"/>
                <c:pt idx="0">
                  <c:v>37554</c:v>
                </c:pt>
                <c:pt idx="1">
                  <c:v>31671</c:v>
                </c:pt>
                <c:pt idx="2">
                  <c:v>27361</c:v>
                </c:pt>
                <c:pt idx="3">
                  <c:v>24067</c:v>
                </c:pt>
                <c:pt idx="4">
                  <c:v>21470</c:v>
                </c:pt>
                <c:pt idx="5">
                  <c:v>19369</c:v>
                </c:pt>
                <c:pt idx="6">
                  <c:v>17635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28-4274-B123-04CC8881B39B}"/>
            </c:ext>
          </c:extLst>
        </c:ser>
        <c:ser>
          <c:idx val="2"/>
          <c:order val="2"/>
          <c:tx>
            <c:strRef>
              <c:f>'APPENDIX J'!$D$17</c:f>
              <c:strCache>
                <c:ptCount val="1"/>
                <c:pt idx="0">
                  <c:v>1.00%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J'!$D$18:$D$24</c:f>
              <c:numCache>
                <c:formatCode>#,##0</c:formatCode>
                <c:ptCount val="7"/>
                <c:pt idx="0">
                  <c:v>40651</c:v>
                </c:pt>
                <c:pt idx="1">
                  <c:v>33775</c:v>
                </c:pt>
                <c:pt idx="2">
                  <c:v>28866</c:v>
                </c:pt>
                <c:pt idx="3">
                  <c:v>25188</c:v>
                </c:pt>
                <c:pt idx="4">
                  <c:v>22329</c:v>
                </c:pt>
                <c:pt idx="5">
                  <c:v>20043</c:v>
                </c:pt>
                <c:pt idx="6">
                  <c:v>18175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28-4274-B123-04CC8881B39B}"/>
            </c:ext>
          </c:extLst>
        </c:ser>
        <c:ser>
          <c:idx val="3"/>
          <c:order val="3"/>
          <c:tx>
            <c:strRef>
              <c:f>'APPENDIX J'!$E$17</c:f>
              <c:strCache>
                <c:ptCount val="1"/>
                <c:pt idx="0">
                  <c:v>1.50%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J'!$E$18:$E$24</c:f>
              <c:numCache>
                <c:formatCode>#,##0</c:formatCode>
                <c:ptCount val="7"/>
                <c:pt idx="0">
                  <c:v>44437</c:v>
                </c:pt>
                <c:pt idx="1">
                  <c:v>36261</c:v>
                </c:pt>
                <c:pt idx="2">
                  <c:v>30603</c:v>
                </c:pt>
                <c:pt idx="3">
                  <c:v>26457</c:v>
                </c:pt>
                <c:pt idx="4">
                  <c:v>23289</c:v>
                </c:pt>
                <c:pt idx="5">
                  <c:v>20789</c:v>
                </c:pt>
                <c:pt idx="6">
                  <c:v>18767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28-4274-B123-04CC8881B39B}"/>
            </c:ext>
          </c:extLst>
        </c:ser>
        <c:ser>
          <c:idx val="4"/>
          <c:order val="4"/>
          <c:tx>
            <c:strRef>
              <c:f>'APPENDIX J'!$F$17</c:f>
              <c:strCache>
                <c:ptCount val="1"/>
                <c:pt idx="0">
                  <c:v>2.00%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J'!$F$18:$F$24</c:f>
              <c:numCache>
                <c:formatCode>#,##0</c:formatCode>
                <c:ptCount val="7"/>
                <c:pt idx="0">
                  <c:v>49168</c:v>
                </c:pt>
                <c:pt idx="1">
                  <c:v>39244</c:v>
                </c:pt>
                <c:pt idx="2">
                  <c:v>32630</c:v>
                </c:pt>
                <c:pt idx="3">
                  <c:v>27908</c:v>
                </c:pt>
                <c:pt idx="4">
                  <c:v>24369</c:v>
                </c:pt>
                <c:pt idx="5">
                  <c:v>21617</c:v>
                </c:pt>
                <c:pt idx="6">
                  <c:v>19418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28-4274-B123-04CC8881B39B}"/>
            </c:ext>
          </c:extLst>
        </c:ser>
        <c:ser>
          <c:idx val="5"/>
          <c:order val="5"/>
          <c:tx>
            <c:strRef>
              <c:f>'APPENDIX J'!$G$17</c:f>
              <c:strCache>
                <c:ptCount val="1"/>
                <c:pt idx="0">
                  <c:v>2.50%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J'!$G$18:$G$24</c:f>
              <c:numCache>
                <c:formatCode>#,##0</c:formatCode>
                <c:ptCount val="7"/>
                <c:pt idx="0">
                  <c:v>55252</c:v>
                </c:pt>
                <c:pt idx="1">
                  <c:v>42889</c:v>
                </c:pt>
                <c:pt idx="2">
                  <c:v>35025</c:v>
                </c:pt>
                <c:pt idx="3">
                  <c:v>29582</c:v>
                </c:pt>
                <c:pt idx="4">
                  <c:v>25593</c:v>
                </c:pt>
                <c:pt idx="5">
                  <c:v>22543</c:v>
                </c:pt>
                <c:pt idx="6">
                  <c:v>20137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28-4274-B123-04CC8881B39B}"/>
            </c:ext>
          </c:extLst>
        </c:ser>
        <c:ser>
          <c:idx val="6"/>
          <c:order val="6"/>
          <c:tx>
            <c:strRef>
              <c:f>'APPENDIX J'!$H$17</c:f>
              <c:strCache>
                <c:ptCount val="1"/>
                <c:pt idx="0">
                  <c:v>3.00%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'APPENDIX J'!$A$18:$A$24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J'!$H$18:$H$24</c:f>
              <c:numCache>
                <c:formatCode>#,##0</c:formatCode>
                <c:ptCount val="7"/>
                <c:pt idx="0">
                  <c:v>63364</c:v>
                </c:pt>
                <c:pt idx="1">
                  <c:v>47447</c:v>
                </c:pt>
                <c:pt idx="2">
                  <c:v>37899</c:v>
                </c:pt>
                <c:pt idx="3">
                  <c:v>31536</c:v>
                </c:pt>
                <c:pt idx="4">
                  <c:v>26992</c:v>
                </c:pt>
                <c:pt idx="5">
                  <c:v>23585</c:v>
                </c:pt>
                <c:pt idx="6">
                  <c:v>20936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28-4274-B123-04CC8881B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184128"/>
        <c:axId val="461182400"/>
      </c:lineChart>
      <c:catAx>
        <c:axId val="4611841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61182400"/>
        <c:crosses val="autoZero"/>
        <c:auto val="1"/>
        <c:lblAlgn val="ctr"/>
        <c:lblOffset val="100"/>
        <c:noMultiLvlLbl val="0"/>
      </c:catAx>
      <c:valAx>
        <c:axId val="46118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6118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BP PLC – Enterprise Value (£m)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J'!$B$5</c:f>
              <c:strCache>
                <c:ptCount val="1"/>
                <c:pt idx="0">
                  <c:v>0.00%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J'!$B$6:$B$12</c:f>
              <c:numCache>
                <c:formatCode>#,##0</c:formatCode>
                <c:ptCount val="7"/>
                <c:pt idx="0">
                  <c:v>229499</c:v>
                </c:pt>
                <c:pt idx="1">
                  <c:v>196275</c:v>
                </c:pt>
                <c:pt idx="2">
                  <c:v>171370</c:v>
                </c:pt>
                <c:pt idx="3">
                  <c:v>152011</c:v>
                </c:pt>
                <c:pt idx="4">
                  <c:v>136535</c:v>
                </c:pt>
                <c:pt idx="5">
                  <c:v>123881</c:v>
                </c:pt>
                <c:pt idx="6">
                  <c:v>113343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9-474F-9B13-F8778EBDAE45}"/>
            </c:ext>
          </c:extLst>
        </c:ser>
        <c:ser>
          <c:idx val="1"/>
          <c:order val="1"/>
          <c:tx>
            <c:strRef>
              <c:f>'APPENDIX J'!$C$5</c:f>
              <c:strCache>
                <c:ptCount val="1"/>
                <c:pt idx="0">
                  <c:v>0.50%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J'!$C$6:$C$12</c:f>
              <c:numCache>
                <c:formatCode>#,##0</c:formatCode>
                <c:ptCount val="7"/>
                <c:pt idx="0">
                  <c:v>246279</c:v>
                </c:pt>
                <c:pt idx="1">
                  <c:v>207996</c:v>
                </c:pt>
                <c:pt idx="2">
                  <c:v>179934</c:v>
                </c:pt>
                <c:pt idx="3">
                  <c:v>158485</c:v>
                </c:pt>
                <c:pt idx="4">
                  <c:v>141561</c:v>
                </c:pt>
                <c:pt idx="5">
                  <c:v>127868</c:v>
                </c:pt>
                <c:pt idx="6">
                  <c:v>116563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09-474F-9B13-F8778EBDAE45}"/>
            </c:ext>
          </c:extLst>
        </c:ser>
        <c:ser>
          <c:idx val="2"/>
          <c:order val="2"/>
          <c:tx>
            <c:strRef>
              <c:f>'APPENDIX J'!$D$5</c:f>
              <c:strCache>
                <c:ptCount val="1"/>
                <c:pt idx="0">
                  <c:v>1.00%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J'!$D$6:$D$12</c:f>
              <c:numCache>
                <c:formatCode>#,##0</c:formatCode>
                <c:ptCount val="7"/>
                <c:pt idx="0">
                  <c:v>266415</c:v>
                </c:pt>
                <c:pt idx="1">
                  <c:v>221671</c:v>
                </c:pt>
                <c:pt idx="2">
                  <c:v>189721</c:v>
                </c:pt>
                <c:pt idx="3">
                  <c:v>165768</c:v>
                </c:pt>
                <c:pt idx="4">
                  <c:v>147145</c:v>
                </c:pt>
                <c:pt idx="5">
                  <c:v>132253</c:v>
                </c:pt>
                <c:pt idx="6">
                  <c:v>120075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9-474F-9B13-F8778EBDAE45}"/>
            </c:ext>
          </c:extLst>
        </c:ser>
        <c:ser>
          <c:idx val="3"/>
          <c:order val="3"/>
          <c:tx>
            <c:strRef>
              <c:f>'APPENDIX J'!$E$5</c:f>
              <c:strCache>
                <c:ptCount val="1"/>
                <c:pt idx="0">
                  <c:v>1.50%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J'!$E$6:$E$12</c:f>
              <c:numCache>
                <c:formatCode>#,##0</c:formatCode>
                <c:ptCount val="7"/>
                <c:pt idx="0">
                  <c:v>291025</c:v>
                </c:pt>
                <c:pt idx="1">
                  <c:v>237832</c:v>
                </c:pt>
                <c:pt idx="2">
                  <c:v>201014</c:v>
                </c:pt>
                <c:pt idx="3">
                  <c:v>174022</c:v>
                </c:pt>
                <c:pt idx="4">
                  <c:v>153387</c:v>
                </c:pt>
                <c:pt idx="5">
                  <c:v>137101</c:v>
                </c:pt>
                <c:pt idx="6">
                  <c:v>123921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09-474F-9B13-F8778EBDAE45}"/>
            </c:ext>
          </c:extLst>
        </c:ser>
        <c:ser>
          <c:idx val="4"/>
          <c:order val="4"/>
          <c:tx>
            <c:strRef>
              <c:f>'APPENDIX J'!$F$5</c:f>
              <c:strCache>
                <c:ptCount val="1"/>
                <c:pt idx="0">
                  <c:v>2.00%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J'!$F$6:$F$12</c:f>
              <c:numCache>
                <c:formatCode>#,##0</c:formatCode>
                <c:ptCount val="7"/>
                <c:pt idx="0">
                  <c:v>321787</c:v>
                </c:pt>
                <c:pt idx="1">
                  <c:v>257225</c:v>
                </c:pt>
                <c:pt idx="2">
                  <c:v>214189</c:v>
                </c:pt>
                <c:pt idx="3">
                  <c:v>183455</c:v>
                </c:pt>
                <c:pt idx="4">
                  <c:v>160408</c:v>
                </c:pt>
                <c:pt idx="5">
                  <c:v>142487</c:v>
                </c:pt>
                <c:pt idx="6">
                  <c:v>128152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B09-474F-9B13-F8778EBDAE45}"/>
            </c:ext>
          </c:extLst>
        </c:ser>
        <c:ser>
          <c:idx val="5"/>
          <c:order val="5"/>
          <c:tx>
            <c:strRef>
              <c:f>'APPENDIX J'!$G$5</c:f>
              <c:strCache>
                <c:ptCount val="1"/>
                <c:pt idx="0">
                  <c:v>2.50%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J'!$G$6:$G$12</c:f>
              <c:numCache>
                <c:formatCode>#,##0</c:formatCode>
                <c:ptCount val="7"/>
                <c:pt idx="0">
                  <c:v>361339</c:v>
                </c:pt>
                <c:pt idx="1">
                  <c:v>280928</c:v>
                </c:pt>
                <c:pt idx="2">
                  <c:v>229760</c:v>
                </c:pt>
                <c:pt idx="3">
                  <c:v>194339</c:v>
                </c:pt>
                <c:pt idx="4">
                  <c:v>168366</c:v>
                </c:pt>
                <c:pt idx="5">
                  <c:v>148506</c:v>
                </c:pt>
                <c:pt idx="6">
                  <c:v>132829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09-474F-9B13-F8778EBDAE45}"/>
            </c:ext>
          </c:extLst>
        </c:ser>
        <c:ser>
          <c:idx val="6"/>
          <c:order val="6"/>
          <c:tx>
            <c:strRef>
              <c:f>'APPENDIX J'!$H$5</c:f>
              <c:strCache>
                <c:ptCount val="1"/>
                <c:pt idx="0">
                  <c:v>3.00%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'APPENDIX J'!$A$6:$A$12</c:f>
              <c:numCache>
                <c:formatCode>0%</c:formatCode>
                <c:ptCount val="7"/>
                <c:pt idx="0">
                  <c:v>0.06</c:v>
                </c:pt>
                <c:pt idx="1">
                  <c:v>7.0000000000000007E-2</c:v>
                </c:pt>
                <c:pt idx="2">
                  <c:v>0.08</c:v>
                </c:pt>
                <c:pt idx="3">
                  <c:v>0.09</c:v>
                </c:pt>
                <c:pt idx="4">
                  <c:v>0.1</c:v>
                </c:pt>
                <c:pt idx="5">
                  <c:v>0.11</c:v>
                </c:pt>
                <c:pt idx="6">
                  <c:v>0.12</c:v>
                </c:pt>
              </c:numCache>
            </c:numRef>
          </c:cat>
          <c:val>
            <c:numRef>
              <c:f>'APPENDIX J'!$H$6:$H$12</c:f>
              <c:numCache>
                <c:formatCode>#,##0</c:formatCode>
                <c:ptCount val="7"/>
                <c:pt idx="0">
                  <c:v>414075</c:v>
                </c:pt>
                <c:pt idx="1">
                  <c:v>310556</c:v>
                </c:pt>
                <c:pt idx="2">
                  <c:v>248445</c:v>
                </c:pt>
                <c:pt idx="3">
                  <c:v>207038</c:v>
                </c:pt>
                <c:pt idx="4">
                  <c:v>177461</c:v>
                </c:pt>
                <c:pt idx="5">
                  <c:v>155278</c:v>
                </c:pt>
                <c:pt idx="6">
                  <c:v>138025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B09-474F-9B13-F8778EBDA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493936"/>
        <c:axId val="797492208"/>
      </c:lineChart>
      <c:catAx>
        <c:axId val="79749393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97492208"/>
        <c:crosses val="autoZero"/>
        <c:auto val="1"/>
        <c:lblAlgn val="ctr"/>
        <c:lblOffset val="100"/>
        <c:noMultiLvlLbl val="0"/>
      </c:catAx>
      <c:valAx>
        <c:axId val="7974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79749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BP</a:t>
            </a:r>
            <a:r>
              <a:rPr lang="en-US" baseline="0"/>
              <a:t> Plc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K'!$A$49:$B$49</c:f>
              <c:strCache>
                <c:ptCount val="2"/>
                <c:pt idx="0">
                  <c:v>BP PLC</c:v>
                </c:pt>
                <c:pt idx="1">
                  <c:v>Total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K'!$C$48:$G$48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K'!$C$49:$G$49</c:f>
              <c:numCache>
                <c:formatCode>#,##0</c:formatCode>
                <c:ptCount val="5"/>
                <c:pt idx="0">
                  <c:v>195754</c:v>
                </c:pt>
                <c:pt idx="1">
                  <c:v>212337</c:v>
                </c:pt>
                <c:pt idx="2">
                  <c:v>238174</c:v>
                </c:pt>
                <c:pt idx="3">
                  <c:v>220202</c:v>
                </c:pt>
                <c:pt idx="4">
                  <c:v>225585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0A-43E2-86BD-3841AEF3C923}"/>
            </c:ext>
          </c:extLst>
        </c:ser>
        <c:ser>
          <c:idx val="1"/>
          <c:order val="1"/>
          <c:tx>
            <c:strRef>
              <c:f>'APPENDIX K'!$A$50:$B$50</c:f>
              <c:strCache>
                <c:ptCount val="2"/>
                <c:pt idx="0">
                  <c:v>BP PLC</c:v>
                </c:pt>
                <c:pt idx="1">
                  <c:v>Total Liabilities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K'!$C$48:$G$48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K'!$C$50:$G$50</c:f>
              <c:numCache>
                <c:formatCode>#,##0</c:formatCode>
                <c:ptCount val="5"/>
                <c:pt idx="0">
                  <c:v>133172</c:v>
                </c:pt>
                <c:pt idx="1">
                  <c:v>145489</c:v>
                </c:pt>
                <c:pt idx="2">
                  <c:v>169571</c:v>
                </c:pt>
                <c:pt idx="3">
                  <c:v>153038</c:v>
                </c:pt>
                <c:pt idx="4">
                  <c:v>162985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A-43E2-86BD-3841AEF3C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798944"/>
        <c:axId val="961800672"/>
      </c:lineChart>
      <c:catAx>
        <c:axId val="9617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1800672"/>
        <c:crosses val="autoZero"/>
        <c:auto val="1"/>
        <c:lblAlgn val="ctr"/>
        <c:lblOffset val="100"/>
        <c:noMultiLvlLbl val="0"/>
      </c:catAx>
      <c:valAx>
        <c:axId val="96180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9617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Harbour</a:t>
            </a:r>
            <a:r>
              <a:rPr lang="en-US" baseline="0"/>
              <a:t> Energy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'APPENDIX K'!$A$52:$B$52</c:f>
              <c:strCache>
                <c:ptCount val="2"/>
                <c:pt idx="0">
                  <c:v>Harbour Energy PLC</c:v>
                </c:pt>
                <c:pt idx="1">
                  <c:v>Total Assets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'APPENDIX K'!$C$51:$G$51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K'!$C$52:$G$52</c:f>
              <c:numCache>
                <c:formatCode>#,##0</c:formatCode>
                <c:ptCount val="5"/>
                <c:pt idx="0">
                  <c:v>6935</c:v>
                </c:pt>
                <c:pt idx="1">
                  <c:v>10721</c:v>
                </c:pt>
                <c:pt idx="2">
                  <c:v>10388</c:v>
                </c:pt>
                <c:pt idx="3">
                  <c:v>7790</c:v>
                </c:pt>
                <c:pt idx="4">
                  <c:v>24200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5-4C89-95A5-2B7FB141BB7D}"/>
            </c:ext>
          </c:extLst>
        </c:ser>
        <c:ser>
          <c:idx val="1"/>
          <c:order val="1"/>
          <c:tx>
            <c:strRef>
              <c:f>'APPENDIX K'!$A$53:$B$53</c:f>
              <c:strCache>
                <c:ptCount val="2"/>
                <c:pt idx="0">
                  <c:v>Harbour Energy PLC</c:v>
                </c:pt>
                <c:pt idx="1">
                  <c:v>Total Liabilities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'APPENDIX K'!$C$51:$G$51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'APPENDIX K'!$C$53:$G$53</c:f>
              <c:numCache>
                <c:formatCode>#,##0</c:formatCode>
                <c:ptCount val="5"/>
                <c:pt idx="0">
                  <c:v>6155</c:v>
                </c:pt>
                <c:pt idx="1">
                  <c:v>10371</c:v>
                </c:pt>
                <c:pt idx="2">
                  <c:v>9543</c:v>
                </c:pt>
                <c:pt idx="3">
                  <c:v>6570</c:v>
                </c:pt>
                <c:pt idx="4">
                  <c:v>19204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D5-4C89-95A5-2B7FB141B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6658304"/>
        <c:axId val="1286656576"/>
      </c:lineChart>
      <c:catAx>
        <c:axId val="128665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56576"/>
        <c:crosses val="autoZero"/>
        <c:auto val="1"/>
        <c:lblAlgn val="ctr"/>
        <c:lblOffset val="100"/>
        <c:noMultiLvlLbl val="0"/>
      </c:catAx>
      <c:valAx>
        <c:axId val="128665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8665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92075</xdr:colOff>
      <xdr:row>3</xdr:row>
      <xdr:rowOff>34925</xdr:rowOff>
    </xdr:from>
    <xdr:to>
      <xdr:col>22</xdr:col>
      <xdr:colOff>95249</xdr:colOff>
      <xdr:row>33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62CE47-2534-4FEA-AF02-3366FD1D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561973</xdr:colOff>
      <xdr:row>1</xdr:row>
      <xdr:rowOff>142875</xdr:rowOff>
    </xdr:from>
    <xdr:to>
      <xdr:col>20</xdr:col>
      <xdr:colOff>504824</xdr:colOff>
      <xdr:row>30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7A4EE-0D5E-4943-8ED6-6D69E0D949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476249</xdr:colOff>
      <xdr:row>3</xdr:row>
      <xdr:rowOff>142875</xdr:rowOff>
    </xdr:from>
    <xdr:to>
      <xdr:col>20</xdr:col>
      <xdr:colOff>139700</xdr:colOff>
      <xdr:row>31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CD5A21-23AB-413D-9FDA-C3F08631D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155574</xdr:colOff>
      <xdr:row>0</xdr:row>
      <xdr:rowOff>0</xdr:rowOff>
    </xdr:from>
    <xdr:to>
      <xdr:col>22</xdr:col>
      <xdr:colOff>492125</xdr:colOff>
      <xdr:row>26</xdr:row>
      <xdr:rowOff>111125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E4F56D-8CF7-4BCD-8F9B-55FBD904D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390524</xdr:colOff>
      <xdr:row>32</xdr:row>
      <xdr:rowOff>131762</xdr:rowOff>
    </xdr:from>
    <xdr:to>
      <xdr:col>23</xdr:col>
      <xdr:colOff>298449</xdr:colOff>
      <xdr:row>63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3EAB0D-95DD-4101-8791-C4286572E9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384174</xdr:colOff>
      <xdr:row>1</xdr:row>
      <xdr:rowOff>114300</xdr:rowOff>
    </xdr:from>
    <xdr:to>
      <xdr:col>21</xdr:col>
      <xdr:colOff>180974</xdr:colOff>
      <xdr:row>24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D30A07-141C-4CF5-A8CA-038C283B5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168275</xdr:colOff>
      <xdr:row>36</xdr:row>
      <xdr:rowOff>46036</xdr:rowOff>
    </xdr:from>
    <xdr:to>
      <xdr:col>19</xdr:col>
      <xdr:colOff>257175</xdr:colOff>
      <xdr:row>58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55C21E-2871-4666-AD0F-B14D13492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209550</xdr:colOff>
      <xdr:row>2</xdr:row>
      <xdr:rowOff>36512</xdr:rowOff>
    </xdr:from>
    <xdr:to>
      <xdr:col>20</xdr:col>
      <xdr:colOff>419100</xdr:colOff>
      <xdr:row>21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5C486-8E7C-40BA-80C5-CA0A7C5D2F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28</xdr:row>
      <xdr:rowOff>153987</xdr:rowOff>
    </xdr:from>
    <xdr:to>
      <xdr:col>20</xdr:col>
      <xdr:colOff>542925</xdr:colOff>
      <xdr:row>52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83489B-2E50-4AE6-BA34-DCF0E940EF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114299</xdr:colOff>
      <xdr:row>2</xdr:row>
      <xdr:rowOff>9525</xdr:rowOff>
    </xdr:from>
    <xdr:to>
      <xdr:col>19</xdr:col>
      <xdr:colOff>390524</xdr:colOff>
      <xdr:row>27</xdr:row>
      <xdr:rowOff>84137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6F9710-36EF-410B-98A5-085A41584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265111</xdr:colOff>
      <xdr:row>4</xdr:row>
      <xdr:rowOff>66675</xdr:rowOff>
    </xdr:from>
    <xdr:to>
      <xdr:col>20</xdr:col>
      <xdr:colOff>314324</xdr:colOff>
      <xdr:row>27</xdr:row>
      <xdr:rowOff>1587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63EAC-840D-470A-BEA4-59A488891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465137</xdr:colOff>
      <xdr:row>5</xdr:row>
      <xdr:rowOff>73025</xdr:rowOff>
    </xdr:from>
    <xdr:to>
      <xdr:col>21</xdr:col>
      <xdr:colOff>504825</xdr:colOff>
      <xdr:row>27</xdr:row>
      <xdr:rowOff>68262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E771B1-4AD2-4F70-B206-78FFB7A58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141286</xdr:colOff>
      <xdr:row>31</xdr:row>
      <xdr:rowOff>46035</xdr:rowOff>
    </xdr:from>
    <xdr:to>
      <xdr:col>16</xdr:col>
      <xdr:colOff>298449</xdr:colOff>
      <xdr:row>56</xdr:row>
      <xdr:rowOff>165099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834E4F-BA52-4F3E-9C39-CF85F06882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349250</xdr:colOff>
      <xdr:row>2</xdr:row>
      <xdr:rowOff>85725</xdr:rowOff>
    </xdr:from>
    <xdr:to>
      <xdr:col>10</xdr:col>
      <xdr:colOff>441324</xdr:colOff>
      <xdr:row>25</xdr:row>
      <xdr:rowOff>141287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BA64AC-F7BA-45B9-BF1A-BB2C2CD1B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53</xdr:row>
      <xdr:rowOff>115886</xdr:rowOff>
    </xdr:from>
    <xdr:to>
      <xdr:col>7</xdr:col>
      <xdr:colOff>447675</xdr:colOff>
      <xdr:row>70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269A66-8E9C-4AF6-8C9A-F7B1C5875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306386</xdr:colOff>
      <xdr:row>72</xdr:row>
      <xdr:rowOff>55562</xdr:rowOff>
    </xdr:from>
    <xdr:to>
      <xdr:col>7</xdr:col>
      <xdr:colOff>247649</xdr:colOff>
      <xdr:row>90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2FCE62-B500-4F15-875B-F560B87EF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A712-8974-4C0E-84F2-C6F7B0E3DF22}">
  <dimension ref="A2:G29"/>
  <sheetViews>
    <sheetView workbookViewId="0">
      <selection activeCell="A21" sqref="A21:G29"/>
    </sheetView>
  </sheetViews>
  <sheetFormatPr defaultRowHeight="14.5" x14ac:dyDescent="0.35"/>
  <cols>
    <col min="1" max="1" width="52.36328125" customWidth="1"/>
  </cols>
  <sheetData>
    <row r="2" spans="1:6" ht="23.5" x14ac:dyDescent="0.55000000000000004">
      <c r="A2" s="4" t="s">
        <v>121</v>
      </c>
    </row>
    <row r="3" spans="1:6" x14ac:dyDescent="0.35">
      <c r="A3" s="3" t="s">
        <v>0</v>
      </c>
    </row>
    <row r="4" spans="1:6" x14ac:dyDescent="0.35">
      <c r="A4" s="3" t="s">
        <v>1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2</v>
      </c>
      <c r="B5" s="1">
        <v>0.45550000000000002</v>
      </c>
      <c r="C5" s="1">
        <v>0.41089999999999999</v>
      </c>
      <c r="D5" s="1">
        <v>0.41570000000000001</v>
      </c>
      <c r="E5" s="1">
        <v>0.43219999999999997</v>
      </c>
      <c r="F5" s="1">
        <v>0.3977</v>
      </c>
    </row>
    <row r="6" spans="1:6" x14ac:dyDescent="0.35">
      <c r="A6" t="s">
        <v>3</v>
      </c>
      <c r="B6" s="1">
        <v>-0.20549999999999999</v>
      </c>
      <c r="C6" s="1">
        <v>0.11459999999999999</v>
      </c>
      <c r="D6" s="1">
        <v>7.4999999999999997E-2</v>
      </c>
      <c r="E6" s="1">
        <v>0.1313</v>
      </c>
      <c r="F6" s="1">
        <v>6.0600000000000001E-2</v>
      </c>
    </row>
    <row r="7" spans="1:6" x14ac:dyDescent="0.35">
      <c r="A7" t="s">
        <v>4</v>
      </c>
      <c r="B7" s="1">
        <v>-0.19170000000000001</v>
      </c>
      <c r="C7" s="1">
        <v>4.7899999999999998E-2</v>
      </c>
      <c r="D7" s="1">
        <v>-1.03E-2</v>
      </c>
      <c r="E7" s="1">
        <v>7.2499999999999995E-2</v>
      </c>
      <c r="F7" s="1">
        <v>2.0999999999999999E-3</v>
      </c>
    </row>
    <row r="8" spans="1:6" x14ac:dyDescent="0.35">
      <c r="A8" t="s">
        <v>5</v>
      </c>
      <c r="B8" s="1">
        <v>-8.09E-2</v>
      </c>
      <c r="C8" s="1">
        <v>2.5899999999999999E-2</v>
      </c>
      <c r="D8" s="1">
        <v>-8.5000000000000006E-3</v>
      </c>
      <c r="E8" s="1">
        <v>5.57E-2</v>
      </c>
      <c r="F8" s="1">
        <v>1.4E-3</v>
      </c>
    </row>
    <row r="10" spans="1:6" x14ac:dyDescent="0.35">
      <c r="A10" s="3" t="s">
        <v>6</v>
      </c>
    </row>
    <row r="11" spans="1:6" x14ac:dyDescent="0.35">
      <c r="A11" s="3" t="s">
        <v>1</v>
      </c>
      <c r="B11" s="3">
        <v>2020</v>
      </c>
      <c r="C11" s="3">
        <v>2021</v>
      </c>
      <c r="D11" s="3">
        <v>2022</v>
      </c>
      <c r="E11" s="3">
        <v>2023</v>
      </c>
      <c r="F11" s="3">
        <v>2024</v>
      </c>
    </row>
    <row r="12" spans="1:6" x14ac:dyDescent="0.35">
      <c r="A12" t="s">
        <v>2</v>
      </c>
      <c r="B12" s="1">
        <v>0.23469999999999999</v>
      </c>
      <c r="C12" s="1">
        <v>0.29480000000000001</v>
      </c>
      <c r="D12" s="1">
        <v>0.47220000000000001</v>
      </c>
      <c r="E12" s="1">
        <v>0.3604</v>
      </c>
      <c r="F12" s="1">
        <v>0.4133</v>
      </c>
    </row>
    <row r="13" spans="1:6" x14ac:dyDescent="0.35">
      <c r="A13" t="s">
        <v>3</v>
      </c>
      <c r="B13" s="1">
        <v>-0.2848</v>
      </c>
      <c r="C13" s="1">
        <v>0.18410000000000001</v>
      </c>
      <c r="D13" s="1">
        <v>0.47139999999999999</v>
      </c>
      <c r="E13" s="1">
        <v>0.25090000000000001</v>
      </c>
      <c r="F13" s="1">
        <v>0.2676</v>
      </c>
    </row>
    <row r="14" spans="1:6" x14ac:dyDescent="0.35">
      <c r="A14" t="s">
        <v>4</v>
      </c>
      <c r="B14" s="1">
        <v>-0.32250000000000001</v>
      </c>
      <c r="C14" s="1">
        <v>2.9100000000000001E-2</v>
      </c>
      <c r="D14" s="1">
        <v>1.5E-3</v>
      </c>
      <c r="E14" s="1">
        <v>1.21E-2</v>
      </c>
      <c r="F14" s="1">
        <v>-1.7500000000000002E-2</v>
      </c>
    </row>
    <row r="15" spans="1:6" x14ac:dyDescent="0.35">
      <c r="A15" t="s">
        <v>5</v>
      </c>
      <c r="B15" s="1">
        <v>-8.7499999999999994E-2</v>
      </c>
      <c r="C15" s="1">
        <v>6.8999999999999999E-3</v>
      </c>
      <c r="D15" s="1">
        <v>5.9999999999999995E-4</v>
      </c>
      <c r="E15" s="1">
        <v>4.5999999999999999E-3</v>
      </c>
      <c r="F15" s="1">
        <v>-3.5000000000000001E-3</v>
      </c>
    </row>
    <row r="21" spans="1:7" x14ac:dyDescent="0.35">
      <c r="A21" s="3" t="s">
        <v>266</v>
      </c>
      <c r="B21" s="3" t="s">
        <v>1</v>
      </c>
      <c r="C21" s="3">
        <v>2020</v>
      </c>
      <c r="D21" s="3">
        <v>2021</v>
      </c>
      <c r="E21" s="3">
        <v>2022</v>
      </c>
      <c r="F21" s="3">
        <v>2023</v>
      </c>
      <c r="G21" s="3">
        <v>2024</v>
      </c>
    </row>
    <row r="22" spans="1:7" x14ac:dyDescent="0.35">
      <c r="A22" t="s">
        <v>0</v>
      </c>
      <c r="B22" t="s">
        <v>267</v>
      </c>
      <c r="C22" s="1">
        <v>0.45550000000000002</v>
      </c>
      <c r="D22" s="1">
        <v>0.41089999999999999</v>
      </c>
      <c r="E22" s="1">
        <v>0.41570000000000001</v>
      </c>
      <c r="F22" s="1">
        <v>0.43219999999999997</v>
      </c>
      <c r="G22" s="1">
        <v>0.3977</v>
      </c>
    </row>
    <row r="23" spans="1:7" x14ac:dyDescent="0.35">
      <c r="A23" t="s">
        <v>0</v>
      </c>
      <c r="B23" t="s">
        <v>268</v>
      </c>
      <c r="C23" s="1">
        <v>-0.20549999999999999</v>
      </c>
      <c r="D23" s="1">
        <v>0.11459999999999999</v>
      </c>
      <c r="E23" s="1">
        <v>7.4999999999999997E-2</v>
      </c>
      <c r="F23" s="1">
        <v>0.1313</v>
      </c>
      <c r="G23" s="1">
        <v>6.0600000000000001E-2</v>
      </c>
    </row>
    <row r="24" spans="1:7" x14ac:dyDescent="0.35">
      <c r="A24" t="s">
        <v>0</v>
      </c>
      <c r="B24" t="s">
        <v>269</v>
      </c>
      <c r="C24" s="1">
        <v>-0.19170000000000001</v>
      </c>
      <c r="D24" s="1">
        <v>4.7899999999999998E-2</v>
      </c>
      <c r="E24" s="1">
        <v>-1.03E-2</v>
      </c>
      <c r="F24" s="1">
        <v>7.2499999999999995E-2</v>
      </c>
      <c r="G24" s="1">
        <v>2.0999999999999999E-3</v>
      </c>
    </row>
    <row r="25" spans="1:7" x14ac:dyDescent="0.35">
      <c r="A25" t="s">
        <v>0</v>
      </c>
      <c r="B25" t="s">
        <v>270</v>
      </c>
      <c r="C25" s="1">
        <v>-8.09E-2</v>
      </c>
      <c r="D25" s="1">
        <v>2.5899999999999999E-2</v>
      </c>
      <c r="E25" s="1">
        <v>-8.5000000000000006E-3</v>
      </c>
      <c r="F25" s="1">
        <v>5.57E-2</v>
      </c>
      <c r="G25" s="1">
        <v>1.4E-3</v>
      </c>
    </row>
    <row r="26" spans="1:7" x14ac:dyDescent="0.35">
      <c r="A26" t="s">
        <v>6</v>
      </c>
      <c r="B26" t="s">
        <v>267</v>
      </c>
      <c r="C26" s="1">
        <v>0.23469999999999999</v>
      </c>
      <c r="D26" s="1">
        <v>0.29480000000000001</v>
      </c>
      <c r="E26" s="1">
        <v>0.47220000000000001</v>
      </c>
      <c r="F26" s="1">
        <v>0.3604</v>
      </c>
      <c r="G26" s="1">
        <v>0.4133</v>
      </c>
    </row>
    <row r="27" spans="1:7" x14ac:dyDescent="0.35">
      <c r="A27" t="s">
        <v>6</v>
      </c>
      <c r="B27" t="s">
        <v>268</v>
      </c>
      <c r="C27" s="1">
        <v>-0.2848</v>
      </c>
      <c r="D27" s="1">
        <v>0.18410000000000001</v>
      </c>
      <c r="E27" s="1">
        <v>0.47139999999999999</v>
      </c>
      <c r="F27" s="1">
        <v>0.25090000000000001</v>
      </c>
      <c r="G27" s="1">
        <v>0.2676</v>
      </c>
    </row>
    <row r="28" spans="1:7" x14ac:dyDescent="0.35">
      <c r="A28" t="s">
        <v>6</v>
      </c>
      <c r="B28" t="s">
        <v>269</v>
      </c>
      <c r="C28" s="1">
        <v>-0.32250000000000001</v>
      </c>
      <c r="D28" s="1">
        <v>2.9100000000000001E-2</v>
      </c>
      <c r="E28" s="1">
        <v>1.5E-3</v>
      </c>
      <c r="F28" s="1">
        <v>1.21E-2</v>
      </c>
      <c r="G28" s="1">
        <v>-1.7500000000000002E-2</v>
      </c>
    </row>
    <row r="29" spans="1:7" x14ac:dyDescent="0.35">
      <c r="A29" t="s">
        <v>6</v>
      </c>
      <c r="B29" t="s">
        <v>270</v>
      </c>
      <c r="C29" s="1">
        <v>-8.7499999999999994E-2</v>
      </c>
      <c r="D29" s="1">
        <v>6.8999999999999999E-3</v>
      </c>
      <c r="E29" s="1">
        <v>5.9999999999999995E-4</v>
      </c>
      <c r="F29" s="1">
        <v>4.5999999999999999E-3</v>
      </c>
      <c r="G29" s="1">
        <v>-3.5000000000000001E-3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1DE5-680C-4ADF-87F3-CE933CF1D889}">
  <dimension ref="A2:G30"/>
  <sheetViews>
    <sheetView workbookViewId="0">
      <selection activeCell="I9" sqref="I9"/>
    </sheetView>
  </sheetViews>
  <sheetFormatPr defaultRowHeight="14.5" x14ac:dyDescent="0.35"/>
  <cols>
    <col min="1" max="1" width="51.54296875" customWidth="1"/>
  </cols>
  <sheetData>
    <row r="2" spans="1:6" ht="23.5" x14ac:dyDescent="0.55000000000000004">
      <c r="A2" s="4" t="s">
        <v>120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1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7</v>
      </c>
      <c r="B5">
        <v>41.8</v>
      </c>
      <c r="C5">
        <v>52.5</v>
      </c>
      <c r="D5">
        <v>43.5</v>
      </c>
      <c r="E5">
        <v>42.7</v>
      </c>
      <c r="F5">
        <v>42.7</v>
      </c>
    </row>
    <row r="6" spans="1:6" x14ac:dyDescent="0.35">
      <c r="A6" t="s">
        <v>8</v>
      </c>
      <c r="B6">
        <v>100.1</v>
      </c>
      <c r="C6">
        <v>94.7</v>
      </c>
      <c r="D6">
        <v>74</v>
      </c>
      <c r="E6">
        <v>68.2</v>
      </c>
      <c r="F6">
        <v>76</v>
      </c>
    </row>
    <row r="7" spans="1:6" x14ac:dyDescent="0.35">
      <c r="A7" t="s">
        <v>9</v>
      </c>
      <c r="B7">
        <v>137.4</v>
      </c>
      <c r="C7">
        <v>149</v>
      </c>
      <c r="D7">
        <v>124.4</v>
      </c>
      <c r="E7">
        <v>126.7</v>
      </c>
      <c r="F7">
        <v>126.4</v>
      </c>
    </row>
    <row r="8" spans="1:6" x14ac:dyDescent="0.35">
      <c r="A8" t="s">
        <v>10</v>
      </c>
      <c r="B8">
        <v>4.5</v>
      </c>
      <c r="C8">
        <v>-1.8</v>
      </c>
      <c r="D8">
        <v>-6.9</v>
      </c>
      <c r="E8">
        <v>-15.8</v>
      </c>
      <c r="F8">
        <v>-7.7</v>
      </c>
    </row>
    <row r="10" spans="1:6" x14ac:dyDescent="0.35">
      <c r="A10" s="3" t="s">
        <v>6</v>
      </c>
    </row>
    <row r="11" spans="1:6" x14ac:dyDescent="0.35">
      <c r="A11" s="3" t="s">
        <v>1</v>
      </c>
      <c r="B11">
        <v>2020</v>
      </c>
      <c r="C11">
        <v>2021</v>
      </c>
      <c r="D11">
        <v>2022</v>
      </c>
      <c r="E11">
        <v>2023</v>
      </c>
      <c r="F11">
        <v>2024</v>
      </c>
    </row>
    <row r="12" spans="1:6" x14ac:dyDescent="0.35">
      <c r="A12" t="s">
        <v>7</v>
      </c>
      <c r="B12">
        <v>65.400000000000006</v>
      </c>
      <c r="C12">
        <v>143.1</v>
      </c>
      <c r="D12">
        <v>96.8</v>
      </c>
      <c r="E12">
        <v>83.8</v>
      </c>
      <c r="F12">
        <v>140.5</v>
      </c>
    </row>
    <row r="13" spans="1:6" x14ac:dyDescent="0.35">
      <c r="A13" t="s">
        <v>8</v>
      </c>
      <c r="B13">
        <v>29.7</v>
      </c>
      <c r="C13">
        <v>32</v>
      </c>
      <c r="D13">
        <v>18.7</v>
      </c>
      <c r="E13">
        <v>32.6</v>
      </c>
      <c r="F13">
        <v>38</v>
      </c>
    </row>
    <row r="14" spans="1:6" x14ac:dyDescent="0.35">
      <c r="A14" t="s">
        <v>9</v>
      </c>
      <c r="B14">
        <v>100.1</v>
      </c>
      <c r="C14">
        <v>132.1</v>
      </c>
      <c r="D14">
        <v>163.5</v>
      </c>
      <c r="E14">
        <v>137.30000000000001</v>
      </c>
      <c r="F14">
        <v>181.1</v>
      </c>
    </row>
    <row r="15" spans="1:6" x14ac:dyDescent="0.35">
      <c r="A15" t="s">
        <v>10</v>
      </c>
      <c r="B15">
        <v>-5</v>
      </c>
      <c r="C15">
        <v>43</v>
      </c>
      <c r="D15">
        <v>-48</v>
      </c>
      <c r="E15">
        <v>-20.9</v>
      </c>
      <c r="F15">
        <v>-2.6</v>
      </c>
    </row>
    <row r="22" spans="1:7" x14ac:dyDescent="0.35">
      <c r="A22" s="3" t="s">
        <v>266</v>
      </c>
      <c r="B22" s="3" t="s">
        <v>1</v>
      </c>
      <c r="C22" s="3">
        <v>2020</v>
      </c>
      <c r="D22" s="3">
        <v>2021</v>
      </c>
      <c r="E22" s="3">
        <v>2022</v>
      </c>
      <c r="F22" s="3">
        <v>2023</v>
      </c>
      <c r="G22" s="3">
        <v>2024</v>
      </c>
    </row>
    <row r="23" spans="1:7" x14ac:dyDescent="0.35">
      <c r="A23" t="s">
        <v>0</v>
      </c>
      <c r="B23" t="s">
        <v>271</v>
      </c>
      <c r="C23">
        <v>41.8</v>
      </c>
      <c r="D23">
        <v>52.5</v>
      </c>
      <c r="E23">
        <v>43.5</v>
      </c>
      <c r="F23">
        <v>42.7</v>
      </c>
      <c r="G23">
        <v>42.7</v>
      </c>
    </row>
    <row r="24" spans="1:7" x14ac:dyDescent="0.35">
      <c r="A24" t="s">
        <v>0</v>
      </c>
      <c r="B24" t="s">
        <v>272</v>
      </c>
      <c r="C24">
        <v>100.1</v>
      </c>
      <c r="D24">
        <v>94.7</v>
      </c>
      <c r="E24">
        <v>74</v>
      </c>
      <c r="F24">
        <v>68.2</v>
      </c>
      <c r="G24">
        <v>76</v>
      </c>
    </row>
    <row r="25" spans="1:7" x14ac:dyDescent="0.35">
      <c r="A25" t="s">
        <v>0</v>
      </c>
      <c r="B25" t="s">
        <v>273</v>
      </c>
      <c r="C25">
        <v>137.4</v>
      </c>
      <c r="D25">
        <v>149</v>
      </c>
      <c r="E25">
        <v>124.4</v>
      </c>
      <c r="F25">
        <v>126.7</v>
      </c>
      <c r="G25">
        <v>126.4</v>
      </c>
    </row>
    <row r="26" spans="1:7" x14ac:dyDescent="0.35">
      <c r="A26" t="s">
        <v>0</v>
      </c>
      <c r="B26" t="s">
        <v>274</v>
      </c>
      <c r="C26">
        <v>4.5</v>
      </c>
      <c r="D26">
        <v>-1.8</v>
      </c>
      <c r="E26">
        <v>-6.9</v>
      </c>
      <c r="F26">
        <v>-15.8</v>
      </c>
      <c r="G26">
        <v>-7.7</v>
      </c>
    </row>
    <row r="27" spans="1:7" x14ac:dyDescent="0.35">
      <c r="A27" t="s">
        <v>6</v>
      </c>
      <c r="B27" t="s">
        <v>271</v>
      </c>
      <c r="C27">
        <v>65.400000000000006</v>
      </c>
      <c r="D27">
        <v>143.1</v>
      </c>
      <c r="E27">
        <v>96.8</v>
      </c>
      <c r="F27">
        <v>83.8</v>
      </c>
      <c r="G27">
        <v>140.5</v>
      </c>
    </row>
    <row r="28" spans="1:7" x14ac:dyDescent="0.35">
      <c r="A28" t="s">
        <v>6</v>
      </c>
      <c r="B28" t="s">
        <v>272</v>
      </c>
      <c r="C28">
        <v>29.7</v>
      </c>
      <c r="D28">
        <v>32</v>
      </c>
      <c r="E28">
        <v>18.7</v>
      </c>
      <c r="F28">
        <v>32.6</v>
      </c>
      <c r="G28">
        <v>38</v>
      </c>
    </row>
    <row r="29" spans="1:7" x14ac:dyDescent="0.35">
      <c r="A29" t="s">
        <v>6</v>
      </c>
      <c r="B29" t="s">
        <v>273</v>
      </c>
      <c r="C29">
        <v>100.1</v>
      </c>
      <c r="D29">
        <v>132.1</v>
      </c>
      <c r="E29">
        <v>163.5</v>
      </c>
      <c r="F29">
        <v>137.30000000000001</v>
      </c>
      <c r="G29">
        <v>181.1</v>
      </c>
    </row>
    <row r="30" spans="1:7" x14ac:dyDescent="0.35">
      <c r="A30" t="s">
        <v>6</v>
      </c>
      <c r="B30" t="s">
        <v>274</v>
      </c>
      <c r="C30">
        <v>-5</v>
      </c>
      <c r="D30">
        <v>43</v>
      </c>
      <c r="E30">
        <v>-48</v>
      </c>
      <c r="F30">
        <v>-20.9</v>
      </c>
      <c r="G30">
        <v>-2.6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D0CD-6C5D-4C9C-A22B-E2C21F595DEB}">
  <dimension ref="A2:G24"/>
  <sheetViews>
    <sheetView workbookViewId="0">
      <selection activeCell="F34" sqref="F34"/>
    </sheetView>
  </sheetViews>
  <sheetFormatPr defaultRowHeight="14.5" x14ac:dyDescent="0.35"/>
  <cols>
    <col min="1" max="1" width="54.54296875" customWidth="1"/>
  </cols>
  <sheetData>
    <row r="2" spans="1:6" ht="23.5" x14ac:dyDescent="0.55000000000000004">
      <c r="A2" s="4" t="s">
        <v>122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1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</row>
    <row r="6" spans="1:6" x14ac:dyDescent="0.35">
      <c r="A6" t="s">
        <v>17</v>
      </c>
      <c r="B6" t="s">
        <v>18</v>
      </c>
      <c r="C6" t="s">
        <v>19</v>
      </c>
      <c r="D6" t="s">
        <v>20</v>
      </c>
      <c r="E6" t="s">
        <v>18</v>
      </c>
      <c r="F6" t="s">
        <v>21</v>
      </c>
    </row>
    <row r="7" spans="1:6" x14ac:dyDescent="0.35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26</v>
      </c>
    </row>
    <row r="9" spans="1:6" x14ac:dyDescent="0.35">
      <c r="A9" t="s">
        <v>6</v>
      </c>
    </row>
    <row r="10" spans="1:6" x14ac:dyDescent="0.35">
      <c r="A10" t="s">
        <v>1</v>
      </c>
      <c r="B10">
        <v>2020</v>
      </c>
      <c r="C10">
        <v>2021</v>
      </c>
      <c r="D10">
        <v>2022</v>
      </c>
      <c r="E10">
        <v>2023</v>
      </c>
      <c r="F10">
        <v>2024</v>
      </c>
    </row>
    <row r="11" spans="1:6" x14ac:dyDescent="0.35">
      <c r="A11" t="s">
        <v>11</v>
      </c>
      <c r="B11" t="s">
        <v>27</v>
      </c>
      <c r="C11" t="s">
        <v>28</v>
      </c>
      <c r="D11" t="s">
        <v>23</v>
      </c>
      <c r="E11" t="s">
        <v>29</v>
      </c>
      <c r="F11" t="s">
        <v>30</v>
      </c>
    </row>
    <row r="12" spans="1:6" x14ac:dyDescent="0.35">
      <c r="A12" t="s">
        <v>17</v>
      </c>
      <c r="B12" t="s">
        <v>14</v>
      </c>
      <c r="C12" t="s">
        <v>31</v>
      </c>
      <c r="D12" t="s">
        <v>26</v>
      </c>
      <c r="E12" t="s">
        <v>32</v>
      </c>
      <c r="F12" t="s">
        <v>33</v>
      </c>
    </row>
    <row r="13" spans="1:6" x14ac:dyDescent="0.35">
      <c r="A13" t="s">
        <v>22</v>
      </c>
      <c r="B13" t="s">
        <v>34</v>
      </c>
      <c r="C13" t="s">
        <v>35</v>
      </c>
      <c r="D13" t="s">
        <v>36</v>
      </c>
      <c r="E13" t="s">
        <v>37</v>
      </c>
      <c r="F13" t="s">
        <v>37</v>
      </c>
    </row>
    <row r="18" spans="1:7" x14ac:dyDescent="0.35">
      <c r="A18" s="3" t="s">
        <v>266</v>
      </c>
      <c r="B18" s="3" t="s">
        <v>1</v>
      </c>
      <c r="C18" s="3">
        <v>2020</v>
      </c>
      <c r="D18" s="3">
        <v>2021</v>
      </c>
      <c r="E18" s="3">
        <v>2022</v>
      </c>
      <c r="F18" s="3">
        <v>2023</v>
      </c>
      <c r="G18" s="3">
        <v>2024</v>
      </c>
    </row>
    <row r="19" spans="1:7" x14ac:dyDescent="0.35">
      <c r="A19" t="s">
        <v>0</v>
      </c>
      <c r="B19" t="s">
        <v>275</v>
      </c>
      <c r="C19">
        <v>1.22</v>
      </c>
      <c r="D19">
        <v>1.1499999999999999</v>
      </c>
      <c r="E19">
        <v>1.0900000000000001</v>
      </c>
      <c r="F19">
        <v>1.21</v>
      </c>
      <c r="G19">
        <v>1.25</v>
      </c>
    </row>
    <row r="20" spans="1:7" x14ac:dyDescent="0.35">
      <c r="A20" t="s">
        <v>0</v>
      </c>
      <c r="B20" t="s">
        <v>276</v>
      </c>
      <c r="C20">
        <v>0.94</v>
      </c>
      <c r="D20">
        <v>0.86</v>
      </c>
      <c r="E20">
        <v>0.8</v>
      </c>
      <c r="F20">
        <v>0.94</v>
      </c>
      <c r="G20">
        <v>0.97</v>
      </c>
    </row>
    <row r="21" spans="1:7" x14ac:dyDescent="0.35">
      <c r="A21" t="s">
        <v>0</v>
      </c>
      <c r="B21" t="s">
        <v>277</v>
      </c>
      <c r="C21">
        <v>0.52</v>
      </c>
      <c r="D21">
        <v>0.38</v>
      </c>
      <c r="E21">
        <v>0.28999999999999998</v>
      </c>
      <c r="F21">
        <v>0.38</v>
      </c>
      <c r="G21">
        <v>0.48</v>
      </c>
    </row>
    <row r="22" spans="1:7" x14ac:dyDescent="0.35">
      <c r="A22" t="s">
        <v>6</v>
      </c>
      <c r="B22" t="s">
        <v>275</v>
      </c>
      <c r="C22">
        <v>1.24</v>
      </c>
      <c r="D22">
        <v>0.56000000000000005</v>
      </c>
      <c r="E22">
        <v>0.52</v>
      </c>
      <c r="F22">
        <v>0.77</v>
      </c>
      <c r="G22">
        <v>0.7</v>
      </c>
    </row>
    <row r="23" spans="1:7" x14ac:dyDescent="0.35">
      <c r="A23" t="s">
        <v>6</v>
      </c>
      <c r="B23" t="s">
        <v>276</v>
      </c>
      <c r="C23">
        <v>1.0900000000000001</v>
      </c>
      <c r="D23">
        <v>0.51</v>
      </c>
      <c r="E23">
        <v>0.48</v>
      </c>
      <c r="F23">
        <v>0.66</v>
      </c>
      <c r="G23">
        <v>0.63</v>
      </c>
    </row>
    <row r="24" spans="1:7" x14ac:dyDescent="0.35">
      <c r="A24" t="s">
        <v>6</v>
      </c>
      <c r="B24" t="s">
        <v>277</v>
      </c>
      <c r="C24">
        <v>0.43</v>
      </c>
      <c r="D24">
        <v>0.17</v>
      </c>
      <c r="E24">
        <v>0.12</v>
      </c>
      <c r="F24">
        <v>0.14000000000000001</v>
      </c>
      <c r="G24">
        <v>0.14000000000000001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35A4-B08B-4ED5-8D60-66CEA8EE0611}">
  <dimension ref="A2:G33"/>
  <sheetViews>
    <sheetView tabSelected="1" topLeftCell="A28" workbookViewId="0">
      <selection activeCell="A31" sqref="A31"/>
    </sheetView>
  </sheetViews>
  <sheetFormatPr defaultRowHeight="14.5" x14ac:dyDescent="0.35"/>
  <cols>
    <col min="1" max="1" width="60.7265625" customWidth="1"/>
  </cols>
  <sheetData>
    <row r="2" spans="1:6" ht="23.5" x14ac:dyDescent="0.55000000000000004">
      <c r="A2" s="4" t="s">
        <v>123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1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38</v>
      </c>
      <c r="B5" s="1">
        <v>0.68030000000000002</v>
      </c>
      <c r="C5" s="1">
        <v>0.68520000000000003</v>
      </c>
      <c r="D5" s="1">
        <v>0.71199999999999997</v>
      </c>
      <c r="E5" s="1">
        <v>0.69499999999999995</v>
      </c>
      <c r="F5" s="1">
        <v>0.72250000000000003</v>
      </c>
    </row>
    <row r="6" spans="1:6" x14ac:dyDescent="0.3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40</v>
      </c>
    </row>
    <row r="7" spans="1:6" x14ac:dyDescent="0.3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</row>
    <row r="8" spans="1:6" x14ac:dyDescent="0.35">
      <c r="A8" t="s">
        <v>50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</row>
    <row r="10" spans="1:6" x14ac:dyDescent="0.35">
      <c r="A10" s="3" t="s">
        <v>6</v>
      </c>
      <c r="B10" s="3"/>
      <c r="C10" s="3"/>
      <c r="D10" s="3"/>
      <c r="E10" s="3"/>
      <c r="F10" s="3"/>
    </row>
    <row r="11" spans="1:6" x14ac:dyDescent="0.35">
      <c r="A11" s="3" t="s">
        <v>1</v>
      </c>
      <c r="B11" s="3">
        <v>2020</v>
      </c>
      <c r="C11" s="3">
        <v>2021</v>
      </c>
      <c r="D11" s="3">
        <v>2022</v>
      </c>
      <c r="E11" s="3">
        <v>2023</v>
      </c>
      <c r="F11" s="3">
        <v>2024</v>
      </c>
    </row>
    <row r="12" spans="1:6" x14ac:dyDescent="0.35">
      <c r="A12" t="s">
        <v>38</v>
      </c>
      <c r="B12" s="1">
        <v>0.88739999999999997</v>
      </c>
      <c r="C12" s="1">
        <v>0.96740000000000004</v>
      </c>
      <c r="D12" s="1">
        <v>0.91869999999999996</v>
      </c>
      <c r="E12" s="1">
        <v>0.84340000000000004</v>
      </c>
      <c r="F12" s="1">
        <v>0.79359999999999997</v>
      </c>
    </row>
    <row r="13" spans="1:6" x14ac:dyDescent="0.35">
      <c r="A13" t="s">
        <v>39</v>
      </c>
      <c r="B13" t="s">
        <v>56</v>
      </c>
      <c r="C13" t="s">
        <v>57</v>
      </c>
      <c r="D13" t="s">
        <v>58</v>
      </c>
      <c r="E13" t="s">
        <v>59</v>
      </c>
      <c r="F13" t="s">
        <v>59</v>
      </c>
    </row>
    <row r="14" spans="1:6" x14ac:dyDescent="0.35">
      <c r="A14" t="s">
        <v>44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</row>
    <row r="15" spans="1:6" x14ac:dyDescent="0.35">
      <c r="A15" t="s">
        <v>50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</row>
    <row r="21" spans="1:7" x14ac:dyDescent="0.35">
      <c r="A21" s="3" t="s">
        <v>266</v>
      </c>
      <c r="B21" s="3" t="s">
        <v>1</v>
      </c>
      <c r="C21" s="3">
        <v>2020</v>
      </c>
      <c r="D21" s="3">
        <v>2021</v>
      </c>
      <c r="E21" s="3">
        <v>2022</v>
      </c>
      <c r="F21" s="3">
        <v>2023</v>
      </c>
      <c r="G21" s="3">
        <v>2024</v>
      </c>
    </row>
    <row r="22" spans="1:7" x14ac:dyDescent="0.35">
      <c r="A22" t="s">
        <v>0</v>
      </c>
      <c r="B22" t="s">
        <v>278</v>
      </c>
      <c r="C22">
        <v>0.49</v>
      </c>
      <c r="D22">
        <v>0.44</v>
      </c>
      <c r="E22">
        <v>0.41</v>
      </c>
      <c r="F22">
        <v>0.42</v>
      </c>
      <c r="G22">
        <v>0.49</v>
      </c>
    </row>
    <row r="23" spans="1:7" x14ac:dyDescent="0.35">
      <c r="A23" t="s">
        <v>0</v>
      </c>
      <c r="B23" t="s">
        <v>279</v>
      </c>
      <c r="C23">
        <v>2.56</v>
      </c>
      <c r="D23">
        <v>2.61</v>
      </c>
      <c r="E23">
        <v>3.04</v>
      </c>
      <c r="F23">
        <v>2.77</v>
      </c>
      <c r="G23">
        <v>3.44</v>
      </c>
    </row>
    <row r="24" spans="1:7" x14ac:dyDescent="0.35">
      <c r="A24" t="s">
        <v>0</v>
      </c>
      <c r="B24" t="s">
        <v>280</v>
      </c>
      <c r="C24">
        <v>-6.99</v>
      </c>
      <c r="D24">
        <v>6.33</v>
      </c>
      <c r="E24">
        <v>6.7</v>
      </c>
      <c r="F24">
        <v>7.18</v>
      </c>
      <c r="G24">
        <v>2.4500000000000002</v>
      </c>
    </row>
    <row r="25" spans="1:7" x14ac:dyDescent="0.35">
      <c r="A25" t="s">
        <v>6</v>
      </c>
      <c r="B25" t="s">
        <v>278</v>
      </c>
      <c r="C25">
        <v>0.72</v>
      </c>
      <c r="D25">
        <v>0.88</v>
      </c>
      <c r="E25">
        <v>0.62</v>
      </c>
      <c r="F25">
        <v>0</v>
      </c>
      <c r="G25">
        <v>0</v>
      </c>
    </row>
    <row r="26" spans="1:7" x14ac:dyDescent="0.35">
      <c r="A26" t="s">
        <v>6</v>
      </c>
      <c r="B26" t="s">
        <v>279</v>
      </c>
      <c r="C26">
        <v>7.88</v>
      </c>
      <c r="D26">
        <v>29.63</v>
      </c>
      <c r="E26">
        <v>11.3</v>
      </c>
      <c r="F26">
        <v>5.38</v>
      </c>
      <c r="G26">
        <v>3.84</v>
      </c>
    </row>
    <row r="27" spans="1:7" x14ac:dyDescent="0.35">
      <c r="A27" t="s">
        <v>6</v>
      </c>
      <c r="B27" t="s">
        <v>280</v>
      </c>
      <c r="C27">
        <v>-2.2799999999999998</v>
      </c>
      <c r="D27">
        <v>1.71</v>
      </c>
      <c r="E27">
        <v>7.09</v>
      </c>
      <c r="F27">
        <v>2.2200000000000002</v>
      </c>
      <c r="G27">
        <v>2.74</v>
      </c>
    </row>
    <row r="31" spans="1:7" x14ac:dyDescent="0.35">
      <c r="A31" s="3" t="s">
        <v>266</v>
      </c>
      <c r="B31" s="3" t="s">
        <v>1</v>
      </c>
      <c r="C31" s="3">
        <v>2020</v>
      </c>
      <c r="D31" s="3">
        <v>2021</v>
      </c>
      <c r="E31" s="3">
        <v>2022</v>
      </c>
      <c r="F31" s="3">
        <v>2023</v>
      </c>
      <c r="G31" s="3">
        <v>2024</v>
      </c>
    </row>
    <row r="32" spans="1:7" x14ac:dyDescent="0.35">
      <c r="A32" t="s">
        <v>0</v>
      </c>
      <c r="B32" t="s">
        <v>281</v>
      </c>
      <c r="C32" s="1">
        <v>0.68030000000000002</v>
      </c>
      <c r="D32" s="1">
        <v>0.68520000000000003</v>
      </c>
      <c r="E32" s="1">
        <v>0.71199999999999997</v>
      </c>
      <c r="F32" s="1">
        <v>0.69499999999999995</v>
      </c>
      <c r="G32" s="1">
        <v>0.72250000000000003</v>
      </c>
    </row>
    <row r="33" spans="1:7" x14ac:dyDescent="0.35">
      <c r="A33" t="s">
        <v>6</v>
      </c>
      <c r="B33" t="s">
        <v>281</v>
      </c>
      <c r="C33" s="1">
        <v>0.88739999999999997</v>
      </c>
      <c r="D33" s="1">
        <v>0.96740000000000004</v>
      </c>
      <c r="E33" s="1">
        <v>0.91869999999999996</v>
      </c>
      <c r="F33" s="1">
        <v>0.84340000000000004</v>
      </c>
      <c r="G33" s="1">
        <v>0.79359999999999997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F79-A883-4632-9758-D8609294A34C}">
  <dimension ref="A2:G26"/>
  <sheetViews>
    <sheetView topLeftCell="A31" workbookViewId="0">
      <selection activeCell="A24" sqref="A24:G26"/>
    </sheetView>
  </sheetViews>
  <sheetFormatPr defaultRowHeight="14.5" x14ac:dyDescent="0.35"/>
  <cols>
    <col min="1" max="1" width="63.90625" customWidth="1"/>
  </cols>
  <sheetData>
    <row r="2" spans="1:6" ht="23.5" x14ac:dyDescent="0.55000000000000004">
      <c r="A2" s="4" t="s">
        <v>124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70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71</v>
      </c>
      <c r="B5" s="1">
        <v>-0.3039</v>
      </c>
      <c r="C5" s="1">
        <v>9.8599999999999993E-2</v>
      </c>
      <c r="D5" s="1">
        <v>-3.6200000000000003E-2</v>
      </c>
      <c r="E5" s="1">
        <v>0.222</v>
      </c>
      <c r="F5" s="1">
        <v>6.4000000000000003E-3</v>
      </c>
    </row>
    <row r="6" spans="1:6" x14ac:dyDescent="0.35">
      <c r="A6" t="s">
        <v>72</v>
      </c>
      <c r="B6">
        <v>-4.7</v>
      </c>
      <c r="C6">
        <v>1.63</v>
      </c>
      <c r="D6">
        <v>-0.64</v>
      </c>
      <c r="E6">
        <v>4.1399999999999997</v>
      </c>
      <c r="F6">
        <v>0.11</v>
      </c>
    </row>
    <row r="7" spans="1:6" x14ac:dyDescent="0.35">
      <c r="A7" t="s">
        <v>73</v>
      </c>
      <c r="B7">
        <v>-4.7</v>
      </c>
      <c r="C7">
        <v>1.63</v>
      </c>
      <c r="D7">
        <v>-0.64</v>
      </c>
      <c r="E7">
        <v>4.1399999999999997</v>
      </c>
      <c r="F7">
        <v>0.11</v>
      </c>
    </row>
    <row r="9" spans="1:6" x14ac:dyDescent="0.35">
      <c r="A9" s="3" t="s">
        <v>6</v>
      </c>
      <c r="B9" s="3"/>
      <c r="C9" s="3"/>
      <c r="D9" s="3"/>
      <c r="E9" s="3"/>
      <c r="F9" s="3"/>
    </row>
    <row r="10" spans="1:6" x14ac:dyDescent="0.35">
      <c r="A10" s="3" t="s">
        <v>70</v>
      </c>
      <c r="B10" s="3">
        <v>2020</v>
      </c>
      <c r="C10" s="3">
        <v>2021</v>
      </c>
      <c r="D10" s="3">
        <v>2022</v>
      </c>
      <c r="E10" s="3">
        <v>2023</v>
      </c>
      <c r="F10" s="3">
        <v>2024</v>
      </c>
    </row>
    <row r="11" spans="1:6" x14ac:dyDescent="0.35">
      <c r="A11" t="s">
        <v>71</v>
      </c>
      <c r="B11" s="1">
        <v>-0.77769999999999995</v>
      </c>
      <c r="C11" s="1">
        <v>0.21010000000000001</v>
      </c>
      <c r="D11" s="1">
        <v>7.9000000000000008E-3</v>
      </c>
      <c r="E11" s="1">
        <v>2.9700000000000001E-2</v>
      </c>
      <c r="F11" s="1">
        <v>-1.6899999999999998E-2</v>
      </c>
    </row>
    <row r="12" spans="1:6" x14ac:dyDescent="0.35">
      <c r="A12" t="s">
        <v>72</v>
      </c>
      <c r="B12">
        <v>-17.22</v>
      </c>
      <c r="C12">
        <v>0.08</v>
      </c>
      <c r="D12">
        <v>0.01</v>
      </c>
      <c r="E12">
        <v>0.05</v>
      </c>
      <c r="F12">
        <v>-0.08</v>
      </c>
    </row>
    <row r="13" spans="1:6" x14ac:dyDescent="0.35">
      <c r="A13" t="s">
        <v>73</v>
      </c>
      <c r="B13">
        <v>-17.22</v>
      </c>
      <c r="C13">
        <v>0.08</v>
      </c>
      <c r="D13">
        <v>0.01</v>
      </c>
      <c r="E13">
        <v>0.04</v>
      </c>
      <c r="F13">
        <v>-0.08</v>
      </c>
    </row>
    <row r="16" spans="1:6" x14ac:dyDescent="0.35">
      <c r="A16" s="3" t="s">
        <v>283</v>
      </c>
    </row>
    <row r="17" spans="1:7" x14ac:dyDescent="0.35">
      <c r="A17" s="3" t="s">
        <v>266</v>
      </c>
      <c r="B17" s="3" t="s">
        <v>1</v>
      </c>
      <c r="C17" s="3">
        <v>2020</v>
      </c>
      <c r="D17" s="3">
        <v>2021</v>
      </c>
      <c r="E17" s="3">
        <v>2022</v>
      </c>
      <c r="F17" s="3">
        <v>2023</v>
      </c>
      <c r="G17" s="3">
        <v>2024</v>
      </c>
    </row>
    <row r="18" spans="1:7" x14ac:dyDescent="0.35">
      <c r="A18" t="s">
        <v>0</v>
      </c>
      <c r="B18" t="s">
        <v>282</v>
      </c>
      <c r="C18" s="1">
        <v>-0.3039</v>
      </c>
      <c r="D18" s="1">
        <v>9.8599999999999993E-2</v>
      </c>
      <c r="E18" s="1">
        <v>-3.6200000000000003E-2</v>
      </c>
      <c r="F18" s="1">
        <v>0.222</v>
      </c>
      <c r="G18" s="1">
        <v>6.4000000000000003E-3</v>
      </c>
    </row>
    <row r="19" spans="1:7" x14ac:dyDescent="0.35">
      <c r="A19" t="s">
        <v>6</v>
      </c>
      <c r="B19" t="s">
        <v>282</v>
      </c>
      <c r="C19" s="1">
        <v>-0.77769999999999995</v>
      </c>
      <c r="D19" s="1">
        <v>0.21010000000000001</v>
      </c>
      <c r="E19" s="1">
        <v>7.9000000000000008E-3</v>
      </c>
      <c r="F19" s="1">
        <v>2.9700000000000001E-2</v>
      </c>
      <c r="G19" s="1">
        <v>-1.6899999999999998E-2</v>
      </c>
    </row>
    <row r="23" spans="1:7" x14ac:dyDescent="0.35">
      <c r="A23" s="3" t="s">
        <v>284</v>
      </c>
    </row>
    <row r="24" spans="1:7" x14ac:dyDescent="0.35">
      <c r="A24" s="3" t="s">
        <v>266</v>
      </c>
      <c r="B24" s="3" t="s">
        <v>1</v>
      </c>
      <c r="C24" s="3">
        <v>2020</v>
      </c>
      <c r="D24" s="3">
        <v>2021</v>
      </c>
      <c r="E24" s="3">
        <v>2022</v>
      </c>
      <c r="F24" s="3">
        <v>2023</v>
      </c>
      <c r="G24" s="3">
        <v>2024</v>
      </c>
    </row>
    <row r="25" spans="1:7" x14ac:dyDescent="0.35">
      <c r="A25" t="s">
        <v>0</v>
      </c>
      <c r="B25" t="s">
        <v>215</v>
      </c>
      <c r="C25">
        <v>-4.7</v>
      </c>
      <c r="D25">
        <v>1.63</v>
      </c>
      <c r="E25">
        <v>-0.64</v>
      </c>
      <c r="F25">
        <v>4.1399999999999997</v>
      </c>
      <c r="G25">
        <v>0.11</v>
      </c>
    </row>
    <row r="26" spans="1:7" x14ac:dyDescent="0.35">
      <c r="A26" t="s">
        <v>6</v>
      </c>
      <c r="B26" t="s">
        <v>215</v>
      </c>
      <c r="C26">
        <v>-17.22</v>
      </c>
      <c r="D26">
        <v>0.08</v>
      </c>
      <c r="E26">
        <v>0.01</v>
      </c>
      <c r="F26">
        <v>0.05</v>
      </c>
      <c r="G26">
        <v>-0.08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83448-709E-4E72-9E1C-2CF7E83886C2}">
  <dimension ref="A2:G29"/>
  <sheetViews>
    <sheetView topLeftCell="A4" workbookViewId="0">
      <selection activeCell="A27" sqref="A27:G29"/>
    </sheetView>
  </sheetViews>
  <sheetFormatPr defaultRowHeight="14.5" x14ac:dyDescent="0.35"/>
  <cols>
    <col min="1" max="1" width="54.81640625" customWidth="1"/>
  </cols>
  <sheetData>
    <row r="2" spans="1:6" ht="23.5" x14ac:dyDescent="0.55000000000000004">
      <c r="A2" s="4" t="s">
        <v>125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74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75</v>
      </c>
      <c r="B5">
        <v>2.5499999999999998</v>
      </c>
      <c r="C5">
        <v>3.31</v>
      </c>
      <c r="D5">
        <v>4.75</v>
      </c>
      <c r="E5">
        <v>4.66</v>
      </c>
      <c r="F5">
        <v>3.93</v>
      </c>
    </row>
    <row r="6" spans="1:6" x14ac:dyDescent="0.35">
      <c r="A6" t="s">
        <v>76</v>
      </c>
      <c r="B6">
        <v>-4.7</v>
      </c>
      <c r="C6">
        <v>1.63</v>
      </c>
      <c r="D6">
        <v>-0.64</v>
      </c>
      <c r="E6">
        <v>4.1399999999999997</v>
      </c>
      <c r="F6">
        <v>0.11</v>
      </c>
    </row>
    <row r="7" spans="1:6" x14ac:dyDescent="0.3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</row>
    <row r="9" spans="1:6" x14ac:dyDescent="0.35">
      <c r="A9" s="3" t="s">
        <v>6</v>
      </c>
      <c r="B9" s="3"/>
      <c r="C9" s="3"/>
      <c r="D9" s="3"/>
      <c r="E9" s="3"/>
      <c r="F9" s="3"/>
    </row>
    <row r="10" spans="1:6" x14ac:dyDescent="0.35">
      <c r="A10" s="3" t="s">
        <v>74</v>
      </c>
      <c r="B10" s="3">
        <v>2020</v>
      </c>
      <c r="C10" s="3">
        <v>2021</v>
      </c>
      <c r="D10" s="3">
        <v>2022</v>
      </c>
      <c r="E10" s="3">
        <v>2023</v>
      </c>
      <c r="F10" s="3">
        <v>2024</v>
      </c>
    </row>
    <row r="11" spans="1:6" x14ac:dyDescent="0.35">
      <c r="A11" t="s">
        <v>75</v>
      </c>
      <c r="B11">
        <v>3.93</v>
      </c>
      <c r="C11">
        <v>3.54</v>
      </c>
      <c r="D11">
        <v>3.04</v>
      </c>
      <c r="E11">
        <v>3.09</v>
      </c>
      <c r="F11">
        <v>2.5499999999999998</v>
      </c>
    </row>
    <row r="12" spans="1:6" x14ac:dyDescent="0.35">
      <c r="A12" t="s">
        <v>76</v>
      </c>
      <c r="B12">
        <v>-17.22</v>
      </c>
      <c r="C12">
        <v>0.08</v>
      </c>
      <c r="D12">
        <v>0.01</v>
      </c>
      <c r="E12">
        <v>0.05</v>
      </c>
      <c r="F12">
        <v>-0.08</v>
      </c>
    </row>
    <row r="13" spans="1:6" x14ac:dyDescent="0.35">
      <c r="A13" t="s">
        <v>77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</row>
    <row r="17" spans="1:7" x14ac:dyDescent="0.35">
      <c r="A17" s="3" t="s">
        <v>285</v>
      </c>
    </row>
    <row r="18" spans="1:7" x14ac:dyDescent="0.35">
      <c r="A18" s="3" t="s">
        <v>266</v>
      </c>
      <c r="B18" s="3" t="s">
        <v>89</v>
      </c>
      <c r="C18" s="3">
        <v>2020</v>
      </c>
      <c r="D18" s="3">
        <v>2021</v>
      </c>
      <c r="E18" s="3">
        <v>2022</v>
      </c>
      <c r="F18" s="3">
        <v>2023</v>
      </c>
      <c r="G18" s="3">
        <v>2024</v>
      </c>
    </row>
    <row r="19" spans="1:7" x14ac:dyDescent="0.35">
      <c r="A19" t="s">
        <v>0</v>
      </c>
      <c r="B19" t="s">
        <v>93</v>
      </c>
      <c r="C19">
        <v>2.5499999999999998</v>
      </c>
      <c r="D19">
        <v>3.31</v>
      </c>
      <c r="E19">
        <v>4.75</v>
      </c>
      <c r="F19">
        <v>4.66</v>
      </c>
      <c r="G19">
        <v>3.93</v>
      </c>
    </row>
    <row r="20" spans="1:7" x14ac:dyDescent="0.35">
      <c r="A20" t="s">
        <v>6</v>
      </c>
      <c r="B20" t="s">
        <v>93</v>
      </c>
      <c r="C20">
        <v>3.93</v>
      </c>
      <c r="D20">
        <v>3.54</v>
      </c>
      <c r="E20">
        <v>3.04</v>
      </c>
      <c r="F20">
        <v>3.09</v>
      </c>
      <c r="G20">
        <v>2.5499999999999998</v>
      </c>
    </row>
    <row r="26" spans="1:7" x14ac:dyDescent="0.35">
      <c r="A26" s="3" t="s">
        <v>286</v>
      </c>
    </row>
    <row r="27" spans="1:7" x14ac:dyDescent="0.35">
      <c r="A27" s="3" t="s">
        <v>266</v>
      </c>
      <c r="B27" s="3" t="s">
        <v>89</v>
      </c>
      <c r="C27" s="3">
        <v>2020</v>
      </c>
      <c r="D27" s="3">
        <v>2021</v>
      </c>
      <c r="E27" s="3">
        <v>2022</v>
      </c>
      <c r="F27" s="3">
        <v>2023</v>
      </c>
      <c r="G27" s="3">
        <v>2024</v>
      </c>
    </row>
    <row r="28" spans="1:7" x14ac:dyDescent="0.35">
      <c r="A28" t="s">
        <v>0</v>
      </c>
      <c r="B28" t="s">
        <v>287</v>
      </c>
      <c r="C28">
        <v>-0.54</v>
      </c>
      <c r="D28">
        <v>2.0299999999999998</v>
      </c>
      <c r="E28">
        <v>-7.42</v>
      </c>
      <c r="F28">
        <v>1.1299999999999999</v>
      </c>
      <c r="G28">
        <v>35.729999999999997</v>
      </c>
    </row>
    <row r="29" spans="1:7" x14ac:dyDescent="0.35">
      <c r="A29" t="s">
        <v>6</v>
      </c>
      <c r="B29" t="s">
        <v>287</v>
      </c>
      <c r="C29">
        <v>-0.23</v>
      </c>
      <c r="D29">
        <v>44.25</v>
      </c>
      <c r="E29">
        <v>304</v>
      </c>
      <c r="F29">
        <v>61.8</v>
      </c>
      <c r="G29">
        <v>-31.87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96C7-1F8F-48FD-8EA4-FE1F0EE0CE20}">
  <dimension ref="A2:G24"/>
  <sheetViews>
    <sheetView workbookViewId="0">
      <selection activeCell="A22" sqref="A22:G24"/>
    </sheetView>
  </sheetViews>
  <sheetFormatPr defaultRowHeight="14.5" x14ac:dyDescent="0.35"/>
  <cols>
    <col min="1" max="1" width="32.1796875" customWidth="1"/>
  </cols>
  <sheetData>
    <row r="2" spans="1:6" x14ac:dyDescent="0.35">
      <c r="A2" s="3" t="s">
        <v>126</v>
      </c>
    </row>
    <row r="3" spans="1:6" x14ac:dyDescent="0.35">
      <c r="A3" s="3" t="s">
        <v>88</v>
      </c>
      <c r="B3" s="3"/>
      <c r="C3" s="3"/>
      <c r="D3" s="3"/>
      <c r="E3" s="3"/>
      <c r="F3" s="3"/>
    </row>
    <row r="4" spans="1:6" x14ac:dyDescent="0.35">
      <c r="A4" s="3" t="s">
        <v>89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90</v>
      </c>
      <c r="B5" s="2">
        <v>52110</v>
      </c>
      <c r="C5" s="2">
        <v>55778</v>
      </c>
      <c r="D5" s="2">
        <v>55843</v>
      </c>
      <c r="E5" s="2">
        <v>55215</v>
      </c>
      <c r="F5" s="2">
        <v>47355</v>
      </c>
    </row>
    <row r="6" spans="1:6" x14ac:dyDescent="0.35">
      <c r="A6" t="s">
        <v>91</v>
      </c>
      <c r="B6" s="2">
        <v>3370</v>
      </c>
      <c r="C6" s="2">
        <v>3377</v>
      </c>
      <c r="D6" s="2">
        <v>3165</v>
      </c>
      <c r="E6" s="2">
        <v>2958</v>
      </c>
      <c r="F6" s="2">
        <v>2803</v>
      </c>
    </row>
    <row r="7" spans="1:6" x14ac:dyDescent="0.35">
      <c r="A7" t="s">
        <v>92</v>
      </c>
      <c r="B7">
        <v>15.46</v>
      </c>
      <c r="C7">
        <v>16.52</v>
      </c>
      <c r="D7">
        <v>17.649999999999999</v>
      </c>
      <c r="E7">
        <v>18.66</v>
      </c>
      <c r="F7">
        <v>16.899999999999999</v>
      </c>
    </row>
    <row r="8" spans="1:6" x14ac:dyDescent="0.35">
      <c r="A8" t="s">
        <v>93</v>
      </c>
      <c r="B8">
        <v>2.5499999999999998</v>
      </c>
      <c r="C8">
        <v>3.31</v>
      </c>
      <c r="D8">
        <v>4.75</v>
      </c>
      <c r="E8">
        <v>4.66</v>
      </c>
      <c r="F8">
        <v>3.93</v>
      </c>
    </row>
    <row r="9" spans="1:6" x14ac:dyDescent="0.35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</row>
    <row r="11" spans="1:6" x14ac:dyDescent="0.35">
      <c r="A11" s="3" t="s">
        <v>100</v>
      </c>
      <c r="B11" s="3"/>
      <c r="C11" s="3"/>
      <c r="D11" s="3"/>
      <c r="E11" s="3"/>
      <c r="F11" s="3"/>
    </row>
    <row r="12" spans="1:6" x14ac:dyDescent="0.35">
      <c r="A12" s="3" t="s">
        <v>89</v>
      </c>
      <c r="B12" s="3">
        <v>2020</v>
      </c>
      <c r="C12" s="3">
        <v>2021</v>
      </c>
      <c r="D12" s="3">
        <v>2022</v>
      </c>
      <c r="E12" s="3">
        <v>2023</v>
      </c>
      <c r="F12" s="3">
        <v>2024</v>
      </c>
    </row>
    <row r="13" spans="1:6" x14ac:dyDescent="0.35">
      <c r="A13" t="s">
        <v>90</v>
      </c>
      <c r="B13">
        <v>781</v>
      </c>
      <c r="C13">
        <v>350</v>
      </c>
      <c r="D13">
        <v>844</v>
      </c>
      <c r="E13" s="2">
        <v>1220</v>
      </c>
      <c r="F13" s="2">
        <v>4996</v>
      </c>
    </row>
    <row r="14" spans="1:6" x14ac:dyDescent="0.35">
      <c r="A14" t="s">
        <v>91</v>
      </c>
      <c r="B14">
        <v>35</v>
      </c>
      <c r="C14">
        <v>872</v>
      </c>
      <c r="D14">
        <v>912</v>
      </c>
      <c r="E14">
        <v>806</v>
      </c>
      <c r="F14" s="2">
        <v>1083</v>
      </c>
    </row>
    <row r="15" spans="1:6" x14ac:dyDescent="0.35">
      <c r="A15" t="s">
        <v>92</v>
      </c>
      <c r="B15">
        <v>22.14</v>
      </c>
      <c r="C15">
        <v>0.4</v>
      </c>
      <c r="D15">
        <v>0.93</v>
      </c>
      <c r="E15">
        <v>1.51</v>
      </c>
      <c r="F15">
        <v>4.6100000000000003</v>
      </c>
    </row>
    <row r="16" spans="1:6" x14ac:dyDescent="0.35">
      <c r="A16" t="s">
        <v>93</v>
      </c>
      <c r="B16">
        <v>3.93</v>
      </c>
      <c r="C16">
        <v>3.54</v>
      </c>
      <c r="D16">
        <v>3.04</v>
      </c>
      <c r="E16">
        <v>3.09</v>
      </c>
      <c r="F16">
        <v>2.5499999999999998</v>
      </c>
    </row>
    <row r="17" spans="1:7" x14ac:dyDescent="0.35">
      <c r="A17" t="s">
        <v>94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</row>
    <row r="21" spans="1:7" x14ac:dyDescent="0.35">
      <c r="A21" s="3" t="s">
        <v>288</v>
      </c>
    </row>
    <row r="22" spans="1:7" x14ac:dyDescent="0.35">
      <c r="A22" s="3" t="s">
        <v>266</v>
      </c>
      <c r="B22" s="3" t="s">
        <v>1</v>
      </c>
      <c r="C22" s="3">
        <v>2020</v>
      </c>
      <c r="D22" s="3">
        <v>2021</v>
      </c>
      <c r="E22" s="3">
        <v>2022</v>
      </c>
      <c r="F22" s="3">
        <v>2023</v>
      </c>
      <c r="G22" s="3">
        <v>2024</v>
      </c>
    </row>
    <row r="23" spans="1:7" x14ac:dyDescent="0.35">
      <c r="A23" t="s">
        <v>0</v>
      </c>
      <c r="B23" t="s">
        <v>289</v>
      </c>
      <c r="C23">
        <v>0.16</v>
      </c>
      <c r="D23">
        <v>0.2</v>
      </c>
      <c r="E23">
        <v>0.27</v>
      </c>
      <c r="F23">
        <v>0.25</v>
      </c>
      <c r="G23">
        <v>0.23</v>
      </c>
    </row>
    <row r="24" spans="1:7" x14ac:dyDescent="0.35">
      <c r="A24" t="s">
        <v>6</v>
      </c>
      <c r="B24" t="s">
        <v>289</v>
      </c>
      <c r="C24">
        <v>0.18</v>
      </c>
      <c r="D24">
        <v>8.85</v>
      </c>
      <c r="E24">
        <v>3.27</v>
      </c>
      <c r="F24">
        <v>2.0499999999999998</v>
      </c>
      <c r="G24">
        <v>0.55000000000000004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B6AC-467F-4059-A094-4BC6C903FC81}">
  <dimension ref="A2:G27"/>
  <sheetViews>
    <sheetView workbookViewId="0">
      <selection activeCell="A25" sqref="A25:G27"/>
    </sheetView>
  </sheetViews>
  <sheetFormatPr defaultRowHeight="14.5" x14ac:dyDescent="0.35"/>
  <cols>
    <col min="1" max="1" width="35.90625" customWidth="1"/>
  </cols>
  <sheetData>
    <row r="2" spans="1:6" x14ac:dyDescent="0.35">
      <c r="A2" s="3" t="s">
        <v>127</v>
      </c>
    </row>
    <row r="3" spans="1:6" x14ac:dyDescent="0.35">
      <c r="A3" s="3" t="s">
        <v>0</v>
      </c>
      <c r="B3" s="3"/>
      <c r="C3" s="3"/>
      <c r="D3" s="3"/>
      <c r="E3" s="3"/>
      <c r="F3" s="3"/>
    </row>
    <row r="4" spans="1:6" x14ac:dyDescent="0.35">
      <c r="A4" s="3" t="s">
        <v>89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93</v>
      </c>
      <c r="B5">
        <v>2.5499999999999998</v>
      </c>
      <c r="C5">
        <v>3.31</v>
      </c>
      <c r="D5">
        <v>4.75</v>
      </c>
      <c r="E5">
        <v>4.66</v>
      </c>
      <c r="F5">
        <v>3.93</v>
      </c>
    </row>
    <row r="6" spans="1:6" x14ac:dyDescent="0.35">
      <c r="A6" t="s">
        <v>91</v>
      </c>
      <c r="B6" s="2">
        <v>3370</v>
      </c>
      <c r="C6" s="2">
        <v>3377</v>
      </c>
      <c r="D6" s="2">
        <v>3165</v>
      </c>
      <c r="E6" s="2">
        <v>2958</v>
      </c>
      <c r="F6" s="2">
        <v>2803</v>
      </c>
    </row>
    <row r="7" spans="1:6" x14ac:dyDescent="0.35">
      <c r="A7" t="s">
        <v>106</v>
      </c>
      <c r="B7" s="2">
        <v>8594</v>
      </c>
      <c r="C7" s="2">
        <v>11177</v>
      </c>
      <c r="D7" s="2">
        <v>15032</v>
      </c>
      <c r="E7" s="2">
        <v>13786</v>
      </c>
      <c r="F7" s="2">
        <v>11015</v>
      </c>
    </row>
    <row r="8" spans="1:6" x14ac:dyDescent="0.35">
      <c r="A8" t="s">
        <v>107</v>
      </c>
      <c r="B8" s="2">
        <v>51838</v>
      </c>
      <c r="C8" s="2">
        <v>65244</v>
      </c>
      <c r="D8" s="2">
        <v>86229</v>
      </c>
      <c r="E8" s="2">
        <v>80059</v>
      </c>
      <c r="F8" s="2">
        <v>63591</v>
      </c>
    </row>
    <row r="9" spans="1:6" x14ac:dyDescent="0.35">
      <c r="A9" t="s">
        <v>108</v>
      </c>
      <c r="B9" s="2">
        <v>9486</v>
      </c>
      <c r="C9" s="2">
        <v>17172</v>
      </c>
      <c r="D9" s="2">
        <v>33224</v>
      </c>
      <c r="E9" s="2">
        <v>25772</v>
      </c>
      <c r="F9" s="2">
        <v>21366</v>
      </c>
    </row>
    <row r="10" spans="1:6" x14ac:dyDescent="0.35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F10" t="s">
        <v>114</v>
      </c>
    </row>
    <row r="12" spans="1:6" x14ac:dyDescent="0.35">
      <c r="A12" s="3" t="s">
        <v>115</v>
      </c>
      <c r="B12" s="3"/>
      <c r="C12" s="3"/>
      <c r="D12" s="3"/>
      <c r="E12" s="3"/>
      <c r="F12" s="3"/>
    </row>
    <row r="13" spans="1:6" x14ac:dyDescent="0.35">
      <c r="A13" s="3" t="s">
        <v>89</v>
      </c>
      <c r="B13" s="3">
        <v>2020</v>
      </c>
      <c r="C13" s="3">
        <v>2021</v>
      </c>
      <c r="D13" s="3">
        <v>2022</v>
      </c>
      <c r="E13" s="3">
        <v>2023</v>
      </c>
      <c r="F13" s="3">
        <v>2024</v>
      </c>
    </row>
    <row r="14" spans="1:6" x14ac:dyDescent="0.35">
      <c r="A14" t="s">
        <v>93</v>
      </c>
      <c r="B14">
        <v>3.93</v>
      </c>
      <c r="C14">
        <v>3.54</v>
      </c>
      <c r="D14">
        <v>3.04</v>
      </c>
      <c r="E14">
        <v>3.09</v>
      </c>
      <c r="F14">
        <v>2.5499999999999998</v>
      </c>
    </row>
    <row r="15" spans="1:6" x14ac:dyDescent="0.35">
      <c r="A15" t="s">
        <v>91</v>
      </c>
      <c r="B15">
        <v>35</v>
      </c>
      <c r="C15">
        <v>872</v>
      </c>
      <c r="D15">
        <v>912</v>
      </c>
      <c r="E15">
        <v>806</v>
      </c>
      <c r="F15" s="2">
        <v>1083</v>
      </c>
    </row>
    <row r="16" spans="1:6" x14ac:dyDescent="0.35">
      <c r="A16" t="s">
        <v>106</v>
      </c>
      <c r="B16">
        <v>139</v>
      </c>
      <c r="C16" s="2">
        <v>3089</v>
      </c>
      <c r="D16" s="2">
        <v>2773</v>
      </c>
      <c r="E16" s="2">
        <v>2491</v>
      </c>
      <c r="F16" s="2">
        <v>2762</v>
      </c>
    </row>
    <row r="17" spans="1:7" x14ac:dyDescent="0.35">
      <c r="A17" t="s">
        <v>107</v>
      </c>
      <c r="B17">
        <v>182</v>
      </c>
      <c r="C17" s="2">
        <v>3276</v>
      </c>
      <c r="D17" s="2">
        <v>2582</v>
      </c>
      <c r="E17" s="2">
        <v>2377</v>
      </c>
      <c r="F17" s="2">
        <v>4320</v>
      </c>
    </row>
    <row r="18" spans="1:7" x14ac:dyDescent="0.35">
      <c r="A18" t="s">
        <v>108</v>
      </c>
      <c r="B18" s="2">
        <v>1071</v>
      </c>
      <c r="C18" s="2">
        <v>1174</v>
      </c>
      <c r="D18" s="2">
        <v>2540</v>
      </c>
      <c r="E18" s="2">
        <v>1725</v>
      </c>
      <c r="F18" s="2">
        <v>1264</v>
      </c>
    </row>
    <row r="19" spans="1:7" x14ac:dyDescent="0.35">
      <c r="A19" t="s">
        <v>109</v>
      </c>
      <c r="B19" t="s">
        <v>35</v>
      </c>
      <c r="C19" t="s">
        <v>116</v>
      </c>
      <c r="D19" t="s">
        <v>117</v>
      </c>
      <c r="E19" t="s">
        <v>118</v>
      </c>
      <c r="F19" t="s">
        <v>119</v>
      </c>
    </row>
    <row r="24" spans="1:7" x14ac:dyDescent="0.35">
      <c r="A24" s="3" t="s">
        <v>290</v>
      </c>
    </row>
    <row r="25" spans="1:7" x14ac:dyDescent="0.35">
      <c r="A25" s="3" t="s">
        <v>266</v>
      </c>
      <c r="B25" s="3" t="s">
        <v>1</v>
      </c>
      <c r="C25" s="3">
        <v>2020</v>
      </c>
      <c r="D25" s="3">
        <v>2021</v>
      </c>
      <c r="E25" s="3">
        <v>2022</v>
      </c>
      <c r="F25" s="3">
        <v>2023</v>
      </c>
      <c r="G25" s="3">
        <v>2024</v>
      </c>
    </row>
    <row r="26" spans="1:7" x14ac:dyDescent="0.35">
      <c r="A26" t="s">
        <v>0</v>
      </c>
      <c r="B26" t="s">
        <v>291</v>
      </c>
      <c r="C26">
        <v>5.46</v>
      </c>
      <c r="D26">
        <v>3.8</v>
      </c>
      <c r="E26">
        <v>2.6</v>
      </c>
      <c r="F26">
        <v>3.11</v>
      </c>
      <c r="G26">
        <v>2.98</v>
      </c>
    </row>
    <row r="27" spans="1:7" x14ac:dyDescent="0.35">
      <c r="A27" t="s">
        <v>6</v>
      </c>
      <c r="B27" t="s">
        <v>291</v>
      </c>
      <c r="C27">
        <v>0.17</v>
      </c>
      <c r="D27">
        <v>2.79</v>
      </c>
      <c r="E27">
        <v>1.02</v>
      </c>
      <c r="F27">
        <v>1.38</v>
      </c>
      <c r="G27">
        <v>3.42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9158-FB44-4435-99DD-BC2A27EA1F66}">
  <dimension ref="A2:G25"/>
  <sheetViews>
    <sheetView workbookViewId="0">
      <selection activeCell="A20" sqref="A20:F25"/>
    </sheetView>
  </sheetViews>
  <sheetFormatPr defaultRowHeight="14.5" x14ac:dyDescent="0.35"/>
  <cols>
    <col min="1" max="1" width="34" customWidth="1"/>
  </cols>
  <sheetData>
    <row r="2" spans="1:6" x14ac:dyDescent="0.35">
      <c r="A2" s="3" t="s">
        <v>156</v>
      </c>
    </row>
    <row r="3" spans="1:6" x14ac:dyDescent="0.35">
      <c r="A3" s="3" t="s">
        <v>128</v>
      </c>
      <c r="B3" s="3"/>
      <c r="C3" s="3"/>
      <c r="D3" s="3"/>
      <c r="E3" s="3"/>
      <c r="F3" s="3"/>
    </row>
    <row r="4" spans="1:6" x14ac:dyDescent="0.35">
      <c r="A4" s="3" t="s">
        <v>129</v>
      </c>
      <c r="B4" s="3">
        <v>2020</v>
      </c>
      <c r="C4" s="3">
        <v>2021</v>
      </c>
      <c r="D4" s="3">
        <v>2022</v>
      </c>
      <c r="E4" s="3">
        <v>2023</v>
      </c>
      <c r="F4" s="3">
        <v>2024</v>
      </c>
    </row>
    <row r="5" spans="1:6" x14ac:dyDescent="0.35">
      <c r="A5" t="s">
        <v>130</v>
      </c>
      <c r="B5" t="s">
        <v>131</v>
      </c>
      <c r="C5" t="s">
        <v>132</v>
      </c>
      <c r="D5" t="s">
        <v>133</v>
      </c>
      <c r="E5" t="s">
        <v>134</v>
      </c>
      <c r="F5" t="s">
        <v>135</v>
      </c>
    </row>
    <row r="6" spans="1:6" x14ac:dyDescent="0.35">
      <c r="A6" t="s">
        <v>136</v>
      </c>
      <c r="B6" t="s">
        <v>137</v>
      </c>
      <c r="C6" t="s">
        <v>138</v>
      </c>
      <c r="D6" t="s">
        <v>139</v>
      </c>
      <c r="E6" t="s">
        <v>140</v>
      </c>
      <c r="F6" t="s">
        <v>141</v>
      </c>
    </row>
    <row r="8" spans="1:6" x14ac:dyDescent="0.35">
      <c r="A8" s="3" t="s">
        <v>142</v>
      </c>
    </row>
    <row r="9" spans="1:6" x14ac:dyDescent="0.35">
      <c r="A9" t="s">
        <v>89</v>
      </c>
      <c r="B9">
        <v>2020</v>
      </c>
      <c r="C9">
        <v>2021</v>
      </c>
      <c r="D9">
        <v>2022</v>
      </c>
      <c r="E9">
        <v>2023</v>
      </c>
      <c r="F9">
        <v>2024</v>
      </c>
    </row>
    <row r="10" spans="1:6" x14ac:dyDescent="0.35">
      <c r="A10" t="s">
        <v>143</v>
      </c>
      <c r="B10">
        <v>182</v>
      </c>
      <c r="C10" s="2">
        <v>3276</v>
      </c>
      <c r="D10" s="2">
        <v>2582</v>
      </c>
      <c r="E10" s="2">
        <v>2377</v>
      </c>
      <c r="F10" s="2">
        <v>4320</v>
      </c>
    </row>
    <row r="11" spans="1:6" x14ac:dyDescent="0.35">
      <c r="A11" t="s">
        <v>144</v>
      </c>
      <c r="B11" s="2">
        <v>2043</v>
      </c>
      <c r="C11" s="2">
        <v>2601</v>
      </c>
      <c r="D11" s="2">
        <v>1392</v>
      </c>
      <c r="E11">
        <v>13</v>
      </c>
      <c r="F11">
        <v>810</v>
      </c>
    </row>
    <row r="12" spans="1:6" x14ac:dyDescent="0.35">
      <c r="A12" t="s">
        <v>145</v>
      </c>
      <c r="B12">
        <v>326</v>
      </c>
      <c r="C12">
        <v>516</v>
      </c>
      <c r="D12">
        <v>413</v>
      </c>
      <c r="E12">
        <v>225</v>
      </c>
      <c r="F12">
        <v>643</v>
      </c>
    </row>
    <row r="13" spans="1:6" x14ac:dyDescent="0.35">
      <c r="A13" t="s">
        <v>146</v>
      </c>
      <c r="B13" s="2">
        <v>1899</v>
      </c>
      <c r="C13" s="2">
        <v>5361</v>
      </c>
      <c r="D13" s="2">
        <v>3560</v>
      </c>
      <c r="E13" s="2">
        <v>2165</v>
      </c>
      <c r="F13" s="2">
        <v>4487</v>
      </c>
    </row>
    <row r="14" spans="1:6" x14ac:dyDescent="0.35">
      <c r="A14" t="s">
        <v>130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</row>
    <row r="15" spans="1:6" x14ac:dyDescent="0.35">
      <c r="A15" t="s">
        <v>136</v>
      </c>
      <c r="B15" t="s">
        <v>152</v>
      </c>
      <c r="C15" t="s">
        <v>133</v>
      </c>
      <c r="D15" t="s">
        <v>153</v>
      </c>
      <c r="E15" t="s">
        <v>154</v>
      </c>
      <c r="F15" t="s">
        <v>155</v>
      </c>
    </row>
    <row r="20" spans="1:7" x14ac:dyDescent="0.35">
      <c r="A20" s="3" t="s">
        <v>292</v>
      </c>
      <c r="B20" s="3"/>
      <c r="C20" s="3"/>
      <c r="D20" s="3"/>
      <c r="E20" s="3"/>
      <c r="F20" s="3"/>
      <c r="G20" s="3"/>
    </row>
    <row r="21" spans="1:7" x14ac:dyDescent="0.35">
      <c r="A21" s="3" t="s">
        <v>266</v>
      </c>
      <c r="B21" s="3" t="s">
        <v>129</v>
      </c>
      <c r="C21" s="3">
        <v>2021</v>
      </c>
      <c r="D21" s="3">
        <v>2022</v>
      </c>
      <c r="E21" s="3">
        <v>2023</v>
      </c>
      <c r="F21" s="3">
        <v>2024</v>
      </c>
    </row>
    <row r="22" spans="1:7" x14ac:dyDescent="0.35">
      <c r="A22" t="s">
        <v>0</v>
      </c>
      <c r="B22" t="s">
        <v>293</v>
      </c>
      <c r="C22">
        <v>6.83</v>
      </c>
      <c r="D22">
        <v>7.07</v>
      </c>
      <c r="E22">
        <v>4.34</v>
      </c>
      <c r="F22">
        <v>9.02</v>
      </c>
    </row>
    <row r="23" spans="1:7" x14ac:dyDescent="0.35">
      <c r="A23" t="s">
        <v>0</v>
      </c>
      <c r="B23" t="s">
        <v>294</v>
      </c>
      <c r="C23">
        <v>9.7100000000000009</v>
      </c>
      <c r="D23">
        <v>4.4400000000000004</v>
      </c>
      <c r="E23">
        <v>6.74</v>
      </c>
      <c r="F23">
        <v>8.61</v>
      </c>
    </row>
    <row r="24" spans="1:7" x14ac:dyDescent="0.35">
      <c r="A24" t="s">
        <v>6</v>
      </c>
      <c r="B24" t="s">
        <v>293</v>
      </c>
      <c r="C24">
        <v>11.51</v>
      </c>
      <c r="D24">
        <v>1.73</v>
      </c>
      <c r="E24">
        <v>2.89</v>
      </c>
      <c r="F24">
        <v>3.48</v>
      </c>
    </row>
    <row r="25" spans="1:7" x14ac:dyDescent="0.35">
      <c r="A25" t="s">
        <v>6</v>
      </c>
      <c r="B25" t="s">
        <v>294</v>
      </c>
      <c r="C25">
        <v>7.07</v>
      </c>
      <c r="D25">
        <v>1.75</v>
      </c>
      <c r="E25">
        <v>1.86</v>
      </c>
      <c r="F25">
        <v>-8.66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DABD-CBD6-426A-ABC6-03913443E5FB}">
  <dimension ref="A3:S24"/>
  <sheetViews>
    <sheetView topLeftCell="A31" workbookViewId="0">
      <selection activeCell="C28" sqref="C28"/>
    </sheetView>
  </sheetViews>
  <sheetFormatPr defaultRowHeight="14.5" x14ac:dyDescent="0.35"/>
  <cols>
    <col min="1" max="1" width="27.6328125" customWidth="1"/>
    <col min="16" max="16" width="32.54296875" customWidth="1"/>
    <col min="17" max="17" width="18.54296875" customWidth="1"/>
    <col min="19" max="19" width="11.36328125" customWidth="1"/>
  </cols>
  <sheetData>
    <row r="3" spans="1:19" x14ac:dyDescent="0.35">
      <c r="A3" s="3" t="s">
        <v>265</v>
      </c>
    </row>
    <row r="4" spans="1:19" x14ac:dyDescent="0.35">
      <c r="A4" s="3" t="s">
        <v>157</v>
      </c>
      <c r="B4" s="3"/>
      <c r="C4" s="3"/>
      <c r="D4" s="3"/>
      <c r="E4" s="3"/>
      <c r="F4" s="3"/>
      <c r="G4" s="3"/>
      <c r="H4" s="3"/>
    </row>
    <row r="5" spans="1:19" x14ac:dyDescent="0.35">
      <c r="A5" s="3" t="s">
        <v>158</v>
      </c>
      <c r="B5" s="6">
        <v>0</v>
      </c>
      <c r="C5" s="6">
        <v>5.0000000000000001E-3</v>
      </c>
      <c r="D5" s="6">
        <v>0.01</v>
      </c>
      <c r="E5" s="6">
        <v>1.4999999999999999E-2</v>
      </c>
      <c r="F5" s="6">
        <v>0.02</v>
      </c>
      <c r="G5" s="6">
        <v>2.5000000000000001E-2</v>
      </c>
      <c r="H5" s="6">
        <v>0.03</v>
      </c>
    </row>
    <row r="6" spans="1:19" x14ac:dyDescent="0.35">
      <c r="A6" s="5">
        <v>0.06</v>
      </c>
      <c r="B6" s="2">
        <v>229499</v>
      </c>
      <c r="C6" s="2">
        <v>246279</v>
      </c>
      <c r="D6" s="2">
        <v>266415</v>
      </c>
      <c r="E6" s="2">
        <v>291025</v>
      </c>
      <c r="F6" s="2">
        <v>321787</v>
      </c>
      <c r="G6" s="2">
        <v>361339</v>
      </c>
      <c r="H6" s="2">
        <v>414075</v>
      </c>
      <c r="P6" s="3" t="s">
        <v>179</v>
      </c>
      <c r="Q6" s="3"/>
      <c r="R6" s="3"/>
      <c r="S6" s="3"/>
    </row>
    <row r="7" spans="1:19" x14ac:dyDescent="0.35">
      <c r="A7" s="5">
        <v>7.0000000000000007E-2</v>
      </c>
      <c r="B7" s="2">
        <v>196275</v>
      </c>
      <c r="C7" s="2">
        <v>207996</v>
      </c>
      <c r="D7" s="2">
        <v>221671</v>
      </c>
      <c r="E7" s="2">
        <v>237832</v>
      </c>
      <c r="F7" s="2">
        <v>257225</v>
      </c>
      <c r="G7" s="2">
        <v>280928</v>
      </c>
      <c r="H7" s="2">
        <v>310556</v>
      </c>
    </row>
    <row r="8" spans="1:19" x14ac:dyDescent="0.35">
      <c r="A8" s="5">
        <v>0.08</v>
      </c>
      <c r="B8" s="2">
        <v>171370</v>
      </c>
      <c r="C8" s="2">
        <v>179934</v>
      </c>
      <c r="D8" s="2">
        <v>189721</v>
      </c>
      <c r="E8" s="2">
        <v>201014</v>
      </c>
      <c r="F8" s="2">
        <v>214189</v>
      </c>
      <c r="G8" s="2">
        <v>229760</v>
      </c>
      <c r="H8" s="2">
        <v>248445</v>
      </c>
      <c r="P8" t="s">
        <v>89</v>
      </c>
      <c r="Q8" t="s">
        <v>0</v>
      </c>
      <c r="R8" t="s">
        <v>6</v>
      </c>
    </row>
    <row r="9" spans="1:19" x14ac:dyDescent="0.35">
      <c r="A9" s="5">
        <v>0.09</v>
      </c>
      <c r="B9" s="2">
        <v>152011</v>
      </c>
      <c r="C9" s="2">
        <v>158485</v>
      </c>
      <c r="D9" s="2">
        <v>165768</v>
      </c>
      <c r="E9" s="2">
        <v>174022</v>
      </c>
      <c r="F9" s="2">
        <v>183455</v>
      </c>
      <c r="G9" s="2">
        <v>194339</v>
      </c>
      <c r="H9" s="2">
        <v>207038</v>
      </c>
      <c r="P9" t="s">
        <v>160</v>
      </c>
      <c r="Q9" t="s">
        <v>161</v>
      </c>
      <c r="R9" t="s">
        <v>162</v>
      </c>
    </row>
    <row r="10" spans="1:19" x14ac:dyDescent="0.35">
      <c r="A10" s="5">
        <v>0.1</v>
      </c>
      <c r="B10" s="2">
        <v>136535</v>
      </c>
      <c r="C10" s="2">
        <v>141561</v>
      </c>
      <c r="D10" s="2">
        <v>147145</v>
      </c>
      <c r="E10" s="2">
        <v>153387</v>
      </c>
      <c r="F10" s="2">
        <v>160408</v>
      </c>
      <c r="G10" s="2">
        <v>168366</v>
      </c>
      <c r="H10" s="2">
        <v>177461</v>
      </c>
      <c r="P10" t="s">
        <v>163</v>
      </c>
      <c r="Q10" t="s">
        <v>164</v>
      </c>
      <c r="R10" t="s">
        <v>165</v>
      </c>
    </row>
    <row r="11" spans="1:19" x14ac:dyDescent="0.35">
      <c r="A11" s="5">
        <v>0.11</v>
      </c>
      <c r="B11" s="2">
        <v>123881</v>
      </c>
      <c r="C11" s="2">
        <v>127868</v>
      </c>
      <c r="D11" s="2">
        <v>132253</v>
      </c>
      <c r="E11" s="2">
        <v>137101</v>
      </c>
      <c r="F11" s="2">
        <v>142487</v>
      </c>
      <c r="G11" s="2">
        <v>148506</v>
      </c>
      <c r="H11" s="2">
        <v>155278</v>
      </c>
      <c r="P11" t="s">
        <v>166</v>
      </c>
      <c r="Q11" t="s">
        <v>167</v>
      </c>
      <c r="R11" t="s">
        <v>168</v>
      </c>
    </row>
    <row r="12" spans="1:19" x14ac:dyDescent="0.35">
      <c r="A12" s="5">
        <v>0.12</v>
      </c>
      <c r="B12" s="2">
        <v>113343</v>
      </c>
      <c r="C12" s="2">
        <v>116563</v>
      </c>
      <c r="D12" s="2">
        <v>120075</v>
      </c>
      <c r="E12" s="2">
        <v>123921</v>
      </c>
      <c r="F12" s="2">
        <v>128152</v>
      </c>
      <c r="G12" s="2">
        <v>132829</v>
      </c>
      <c r="H12" s="2">
        <v>138025</v>
      </c>
      <c r="P12" t="s">
        <v>169</v>
      </c>
      <c r="Q12" t="s">
        <v>170</v>
      </c>
      <c r="R12" t="s">
        <v>171</v>
      </c>
    </row>
    <row r="13" spans="1:19" x14ac:dyDescent="0.35">
      <c r="P13" t="s">
        <v>172</v>
      </c>
      <c r="Q13" t="s">
        <v>173</v>
      </c>
      <c r="R13" t="s">
        <v>174</v>
      </c>
    </row>
    <row r="14" spans="1:19" x14ac:dyDescent="0.35">
      <c r="P14" t="s">
        <v>175</v>
      </c>
      <c r="Q14" t="s">
        <v>176</v>
      </c>
      <c r="R14" t="s">
        <v>177</v>
      </c>
    </row>
    <row r="15" spans="1:19" x14ac:dyDescent="0.35">
      <c r="P15" t="s">
        <v>178</v>
      </c>
      <c r="Q15" s="1">
        <v>13.227</v>
      </c>
      <c r="R15" s="1">
        <v>8.52</v>
      </c>
    </row>
    <row r="16" spans="1:19" x14ac:dyDescent="0.35">
      <c r="A16" s="3" t="s">
        <v>159</v>
      </c>
      <c r="B16" s="3"/>
      <c r="C16" s="3"/>
      <c r="D16" s="3"/>
      <c r="E16" s="3"/>
    </row>
    <row r="17" spans="1:8" x14ac:dyDescent="0.35">
      <c r="A17" s="3" t="s">
        <v>158</v>
      </c>
      <c r="B17" s="1">
        <v>0</v>
      </c>
      <c r="C17" s="1">
        <v>5.0000000000000001E-3</v>
      </c>
      <c r="D17" s="1">
        <v>0.01</v>
      </c>
      <c r="E17" s="1">
        <v>1.4999999999999999E-2</v>
      </c>
      <c r="F17" s="1">
        <v>0.02</v>
      </c>
      <c r="G17" s="1">
        <v>2.5000000000000001E-2</v>
      </c>
      <c r="H17" s="1">
        <v>0.03</v>
      </c>
    </row>
    <row r="18" spans="1:8" x14ac:dyDescent="0.35">
      <c r="A18" s="5">
        <v>0.06</v>
      </c>
      <c r="B18" s="2">
        <v>34973</v>
      </c>
      <c r="C18" s="2">
        <v>37554</v>
      </c>
      <c r="D18" s="2">
        <v>40651</v>
      </c>
      <c r="E18" s="2">
        <v>44437</v>
      </c>
      <c r="F18" s="2">
        <v>49168</v>
      </c>
      <c r="G18" s="2">
        <v>55252</v>
      </c>
      <c r="H18" s="2">
        <v>63364</v>
      </c>
    </row>
    <row r="19" spans="1:8" x14ac:dyDescent="0.35">
      <c r="A19" s="5">
        <v>7.0000000000000007E-2</v>
      </c>
      <c r="B19" s="2">
        <v>29869</v>
      </c>
      <c r="C19" s="2">
        <v>31671</v>
      </c>
      <c r="D19" s="2">
        <v>33775</v>
      </c>
      <c r="E19" s="2">
        <v>36261</v>
      </c>
      <c r="F19" s="2">
        <v>39244</v>
      </c>
      <c r="G19" s="2">
        <v>42889</v>
      </c>
      <c r="H19" s="2">
        <v>47447</v>
      </c>
    </row>
    <row r="20" spans="1:8" x14ac:dyDescent="0.35">
      <c r="A20" s="5">
        <v>0.08</v>
      </c>
      <c r="B20" s="2">
        <v>26044</v>
      </c>
      <c r="C20" s="2">
        <v>27361</v>
      </c>
      <c r="D20" s="2">
        <v>28866</v>
      </c>
      <c r="E20" s="2">
        <v>30603</v>
      </c>
      <c r="F20" s="2">
        <v>32630</v>
      </c>
      <c r="G20" s="2">
        <v>35025</v>
      </c>
      <c r="H20" s="2">
        <v>37899</v>
      </c>
    </row>
    <row r="21" spans="1:8" x14ac:dyDescent="0.35">
      <c r="A21" s="5">
        <v>0.09</v>
      </c>
      <c r="B21" s="2">
        <v>23072</v>
      </c>
      <c r="C21" s="2">
        <v>24067</v>
      </c>
      <c r="D21" s="2">
        <v>25188</v>
      </c>
      <c r="E21" s="2">
        <v>26457</v>
      </c>
      <c r="F21" s="2">
        <v>27908</v>
      </c>
      <c r="G21" s="2">
        <v>29582</v>
      </c>
      <c r="H21" s="2">
        <v>31536</v>
      </c>
    </row>
    <row r="22" spans="1:8" x14ac:dyDescent="0.35">
      <c r="A22" s="5">
        <v>0.1</v>
      </c>
      <c r="B22" s="2">
        <v>20697</v>
      </c>
      <c r="C22" s="2">
        <v>21470</v>
      </c>
      <c r="D22" s="2">
        <v>22329</v>
      </c>
      <c r="E22" s="2">
        <v>23289</v>
      </c>
      <c r="F22" s="2">
        <v>24369</v>
      </c>
      <c r="G22" s="2">
        <v>25593</v>
      </c>
      <c r="H22" s="2">
        <v>26992</v>
      </c>
    </row>
    <row r="23" spans="1:8" x14ac:dyDescent="0.35">
      <c r="A23" s="5">
        <v>0.11</v>
      </c>
      <c r="B23" s="2">
        <v>18756</v>
      </c>
      <c r="C23" s="2">
        <v>19369</v>
      </c>
      <c r="D23" s="2">
        <v>20043</v>
      </c>
      <c r="E23" s="2">
        <v>20789</v>
      </c>
      <c r="F23" s="2">
        <v>21617</v>
      </c>
      <c r="G23" s="2">
        <v>22543</v>
      </c>
      <c r="H23" s="2">
        <v>23585</v>
      </c>
    </row>
    <row r="24" spans="1:8" x14ac:dyDescent="0.35">
      <c r="A24" s="5">
        <v>0.12</v>
      </c>
      <c r="B24" s="2">
        <v>17140</v>
      </c>
      <c r="C24" s="2">
        <v>17635</v>
      </c>
      <c r="D24" s="2">
        <v>18175</v>
      </c>
      <c r="E24" s="2">
        <v>18767</v>
      </c>
      <c r="F24" s="2">
        <v>19418</v>
      </c>
      <c r="G24" s="2">
        <v>20137</v>
      </c>
      <c r="H24" s="2">
        <v>20936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57F69-3FBB-4982-A557-A6DB16780544}">
  <dimension ref="A4:AC53"/>
  <sheetViews>
    <sheetView topLeftCell="H2" workbookViewId="0">
      <selection activeCell="N55" sqref="N55"/>
    </sheetView>
  </sheetViews>
  <sheetFormatPr defaultRowHeight="14.5" x14ac:dyDescent="0.35"/>
  <cols>
    <col min="1" max="1" width="25.6328125" customWidth="1"/>
    <col min="13" max="13" width="32.54296875" customWidth="1"/>
    <col min="24" max="24" width="41.1796875" customWidth="1"/>
  </cols>
  <sheetData>
    <row r="4" spans="1:29" x14ac:dyDescent="0.35">
      <c r="A4" s="3" t="s">
        <v>180</v>
      </c>
      <c r="B4" s="3"/>
      <c r="C4" s="3"/>
      <c r="D4" s="3"/>
      <c r="E4" s="3"/>
      <c r="F4" s="3"/>
      <c r="M4" s="3" t="s">
        <v>200</v>
      </c>
      <c r="N4" s="3"/>
      <c r="O4" s="3"/>
      <c r="P4" s="3"/>
      <c r="Q4" s="3"/>
      <c r="R4" s="3"/>
      <c r="X4" s="3" t="s">
        <v>230</v>
      </c>
      <c r="Y4" s="3"/>
      <c r="Z4" s="3"/>
      <c r="AA4" s="3"/>
      <c r="AB4" s="3"/>
      <c r="AC4" s="3"/>
    </row>
    <row r="5" spans="1:29" x14ac:dyDescent="0.35">
      <c r="A5" s="3" t="s">
        <v>89</v>
      </c>
      <c r="B5" s="3">
        <v>2020</v>
      </c>
      <c r="C5" s="3">
        <v>2021</v>
      </c>
      <c r="D5" s="3">
        <v>2022</v>
      </c>
      <c r="E5" s="3">
        <v>2023</v>
      </c>
      <c r="F5" s="3">
        <v>2024</v>
      </c>
      <c r="M5" s="3" t="s">
        <v>89</v>
      </c>
      <c r="N5" s="3">
        <v>2020</v>
      </c>
      <c r="O5" s="3">
        <v>2021</v>
      </c>
      <c r="P5" s="3">
        <v>2022</v>
      </c>
      <c r="Q5" s="3">
        <v>2023</v>
      </c>
      <c r="R5" s="3">
        <v>2024</v>
      </c>
      <c r="X5" s="3" t="s">
        <v>89</v>
      </c>
      <c r="Y5" s="3">
        <v>2020</v>
      </c>
      <c r="Z5" s="3">
        <v>2021</v>
      </c>
      <c r="AA5" s="3">
        <v>2022</v>
      </c>
      <c r="AB5" s="3">
        <v>2023</v>
      </c>
      <c r="AC5" s="3">
        <v>2024</v>
      </c>
    </row>
    <row r="6" spans="1:29" x14ac:dyDescent="0.35">
      <c r="A6" t="s">
        <v>181</v>
      </c>
      <c r="B6" s="2">
        <v>195754</v>
      </c>
      <c r="C6" s="2">
        <v>212337</v>
      </c>
      <c r="D6" s="2">
        <v>238174</v>
      </c>
      <c r="E6" s="2">
        <v>220202</v>
      </c>
      <c r="F6" s="2">
        <v>225585</v>
      </c>
      <c r="M6" t="s">
        <v>201</v>
      </c>
      <c r="N6" s="2">
        <v>82630</v>
      </c>
      <c r="O6" s="2">
        <v>114714</v>
      </c>
      <c r="P6" s="2">
        <v>195936</v>
      </c>
      <c r="Q6" s="2">
        <v>169027</v>
      </c>
      <c r="R6" s="2">
        <v>148079</v>
      </c>
      <c r="X6" t="s">
        <v>231</v>
      </c>
      <c r="Y6" s="2">
        <v>9486</v>
      </c>
      <c r="Z6" s="2">
        <v>17172</v>
      </c>
      <c r="AA6" s="2">
        <v>33224</v>
      </c>
      <c r="AB6" s="2">
        <v>25772</v>
      </c>
      <c r="AC6" s="2">
        <v>21366</v>
      </c>
    </row>
    <row r="7" spans="1:29" x14ac:dyDescent="0.35">
      <c r="A7" t="s">
        <v>182</v>
      </c>
      <c r="B7" s="2">
        <v>53377</v>
      </c>
      <c r="C7" s="2">
        <v>68438</v>
      </c>
      <c r="D7" s="2">
        <v>89020</v>
      </c>
      <c r="E7" s="2">
        <v>81700</v>
      </c>
      <c r="F7" s="2">
        <v>82195</v>
      </c>
      <c r="M7" t="s">
        <v>202</v>
      </c>
      <c r="N7" s="2">
        <v>85074</v>
      </c>
      <c r="O7" s="2">
        <v>119409</v>
      </c>
      <c r="P7" s="2">
        <v>202023</v>
      </c>
      <c r="Q7" s="2">
        <v>171362</v>
      </c>
      <c r="R7" s="2">
        <v>152341</v>
      </c>
      <c r="X7" t="s">
        <v>232</v>
      </c>
      <c r="Y7" s="2">
        <v>-9598</v>
      </c>
      <c r="Z7" s="2">
        <v>-7918</v>
      </c>
      <c r="AA7" s="2">
        <v>-9796</v>
      </c>
      <c r="AB7" s="2">
        <v>-11491</v>
      </c>
      <c r="AC7" s="2">
        <v>-11973</v>
      </c>
    </row>
    <row r="8" spans="1:29" x14ac:dyDescent="0.35">
      <c r="A8" t="s">
        <v>183</v>
      </c>
      <c r="B8" s="2">
        <v>142377</v>
      </c>
      <c r="C8" s="2">
        <v>143899</v>
      </c>
      <c r="D8" s="2">
        <v>149154</v>
      </c>
      <c r="E8" s="2">
        <v>138384</v>
      </c>
      <c r="F8" s="2">
        <v>143390</v>
      </c>
      <c r="M8" t="s">
        <v>203</v>
      </c>
      <c r="N8" s="2">
        <v>44988</v>
      </c>
      <c r="O8" s="2">
        <v>67577</v>
      </c>
      <c r="P8" s="2">
        <v>114484</v>
      </c>
      <c r="Q8" s="2">
        <v>95970</v>
      </c>
      <c r="R8" s="2">
        <v>89184</v>
      </c>
      <c r="X8" t="s">
        <v>233</v>
      </c>
      <c r="Y8">
        <v>-34</v>
      </c>
      <c r="Z8">
        <v>-135</v>
      </c>
      <c r="AA8" s="2">
        <v>-2865</v>
      </c>
      <c r="AB8">
        <v>-643</v>
      </c>
      <c r="AC8">
        <v>41</v>
      </c>
    </row>
    <row r="9" spans="1:29" x14ac:dyDescent="0.35">
      <c r="A9" t="s">
        <v>184</v>
      </c>
      <c r="B9" s="2">
        <v>133172</v>
      </c>
      <c r="C9" s="2">
        <v>145489</v>
      </c>
      <c r="D9" s="2">
        <v>169571</v>
      </c>
      <c r="E9" s="2">
        <v>153038</v>
      </c>
      <c r="F9" s="2">
        <v>162985</v>
      </c>
      <c r="M9" t="s">
        <v>204</v>
      </c>
      <c r="N9" s="2">
        <v>17544</v>
      </c>
      <c r="O9" s="2">
        <v>18794</v>
      </c>
      <c r="P9" s="2">
        <v>23223</v>
      </c>
      <c r="Q9" s="2">
        <v>20145</v>
      </c>
      <c r="R9" s="2">
        <v>20808</v>
      </c>
      <c r="X9" t="s">
        <v>234</v>
      </c>
      <c r="Y9">
        <v>-442</v>
      </c>
      <c r="Z9" s="2">
        <v>-1047</v>
      </c>
      <c r="AA9">
        <v>-487</v>
      </c>
      <c r="AB9">
        <v>-836</v>
      </c>
      <c r="AC9">
        <v>-665</v>
      </c>
    </row>
    <row r="10" spans="1:29" x14ac:dyDescent="0.35">
      <c r="A10" t="s">
        <v>185</v>
      </c>
      <c r="B10" s="2">
        <v>43735</v>
      </c>
      <c r="C10" s="2">
        <v>59344</v>
      </c>
      <c r="D10" s="2">
        <v>81853</v>
      </c>
      <c r="E10" s="2">
        <v>67575</v>
      </c>
      <c r="F10" s="2">
        <v>65735</v>
      </c>
      <c r="M10" t="s">
        <v>205</v>
      </c>
      <c r="N10">
        <v>542</v>
      </c>
      <c r="O10">
        <v>951</v>
      </c>
      <c r="P10" s="2">
        <v>1887</v>
      </c>
      <c r="Q10" s="2">
        <v>1431</v>
      </c>
      <c r="R10" s="2">
        <v>1408</v>
      </c>
      <c r="X10" t="s">
        <v>235</v>
      </c>
      <c r="Y10">
        <v>-888</v>
      </c>
      <c r="Z10">
        <v>-244</v>
      </c>
      <c r="AA10">
        <v>-106</v>
      </c>
      <c r="AB10">
        <v>-105</v>
      </c>
      <c r="AC10">
        <v>-112</v>
      </c>
    </row>
    <row r="11" spans="1:29" x14ac:dyDescent="0.35">
      <c r="A11" t="s">
        <v>186</v>
      </c>
      <c r="B11" s="2">
        <v>89437</v>
      </c>
      <c r="C11" s="2">
        <v>86145</v>
      </c>
      <c r="D11" s="2">
        <v>87717</v>
      </c>
      <c r="E11" s="2">
        <v>85414</v>
      </c>
      <c r="F11" s="2">
        <v>97250</v>
      </c>
      <c r="M11" t="s">
        <v>206</v>
      </c>
      <c r="N11" s="2">
        <v>11613</v>
      </c>
      <c r="O11" s="2">
        <v>10767</v>
      </c>
      <c r="P11" s="2">
        <v>11622</v>
      </c>
      <c r="Q11" s="2">
        <v>12812</v>
      </c>
      <c r="R11" s="2">
        <v>13010</v>
      </c>
      <c r="X11" t="s">
        <v>236</v>
      </c>
      <c r="Y11">
        <v>383</v>
      </c>
      <c r="Z11">
        <v>833</v>
      </c>
      <c r="AA11">
        <v>576</v>
      </c>
      <c r="AB11">
        <v>107</v>
      </c>
      <c r="AC11">
        <v>257</v>
      </c>
    </row>
    <row r="12" spans="1:29" x14ac:dyDescent="0.35">
      <c r="A12" t="s">
        <v>187</v>
      </c>
      <c r="B12" s="2">
        <v>62582</v>
      </c>
      <c r="C12" s="2">
        <v>66848</v>
      </c>
      <c r="D12" s="2">
        <v>68604</v>
      </c>
      <c r="E12" s="2">
        <v>67164</v>
      </c>
      <c r="F12" s="2">
        <v>62600</v>
      </c>
      <c r="M12" t="s">
        <v>207</v>
      </c>
      <c r="N12" s="2">
        <v>11216</v>
      </c>
      <c r="O12">
        <v>-815</v>
      </c>
      <c r="P12" s="2">
        <v>24775</v>
      </c>
      <c r="Q12" s="2">
        <v>4711</v>
      </c>
      <c r="R12" s="2">
        <v>5475</v>
      </c>
      <c r="X12" t="s">
        <v>237</v>
      </c>
      <c r="Y12" s="2">
        <v>3891</v>
      </c>
      <c r="Z12" s="2">
        <v>4227</v>
      </c>
      <c r="AA12" s="2">
        <v>1494</v>
      </c>
      <c r="AB12">
        <v>960</v>
      </c>
      <c r="AC12" s="2">
        <v>2018</v>
      </c>
    </row>
    <row r="13" spans="1:29" x14ac:dyDescent="0.35">
      <c r="A13" t="s">
        <v>188</v>
      </c>
      <c r="B13" s="2">
        <v>52110</v>
      </c>
      <c r="C13" s="2">
        <v>55778</v>
      </c>
      <c r="D13" s="2">
        <v>55843</v>
      </c>
      <c r="E13" s="2">
        <v>55215</v>
      </c>
      <c r="F13" s="2">
        <v>47355</v>
      </c>
      <c r="M13" t="s">
        <v>208</v>
      </c>
      <c r="N13" s="2">
        <v>8018</v>
      </c>
      <c r="O13">
        <v>308</v>
      </c>
      <c r="P13">
        <v>475</v>
      </c>
      <c r="Q13">
        <v>802</v>
      </c>
      <c r="R13">
        <v>762</v>
      </c>
      <c r="X13" t="s">
        <v>238</v>
      </c>
      <c r="Y13" s="2">
        <v>-6129</v>
      </c>
      <c r="Z13" s="2">
        <v>-4141</v>
      </c>
      <c r="AA13" s="2">
        <v>-11131</v>
      </c>
      <c r="AB13" s="2">
        <v>-11963</v>
      </c>
      <c r="AC13" s="2">
        <v>-10371</v>
      </c>
    </row>
    <row r="14" spans="1:29" x14ac:dyDescent="0.35">
      <c r="A14" t="s">
        <v>189</v>
      </c>
      <c r="B14" s="2">
        <v>10472</v>
      </c>
      <c r="C14" s="2">
        <v>11070</v>
      </c>
      <c r="D14" s="2">
        <v>12761</v>
      </c>
      <c r="E14" s="2">
        <v>11949</v>
      </c>
      <c r="F14" s="2">
        <v>15244</v>
      </c>
      <c r="M14" t="s">
        <v>209</v>
      </c>
      <c r="N14" s="2">
        <v>8109</v>
      </c>
      <c r="O14" s="2">
        <v>8677</v>
      </c>
      <c r="P14" s="2">
        <v>10916</v>
      </c>
      <c r="Q14" s="2">
        <v>13491</v>
      </c>
      <c r="R14" s="2">
        <v>12850</v>
      </c>
      <c r="X14" t="s">
        <v>239</v>
      </c>
      <c r="Y14">
        <v>-605</v>
      </c>
      <c r="Z14" s="2">
        <v>-2292</v>
      </c>
      <c r="AA14" s="2">
        <v>-8114</v>
      </c>
      <c r="AB14" s="2">
        <v>-6369</v>
      </c>
      <c r="AC14" s="2">
        <v>-5579</v>
      </c>
    </row>
    <row r="15" spans="1:29" x14ac:dyDescent="0.35">
      <c r="A15" t="s">
        <v>190</v>
      </c>
      <c r="B15" s="2">
        <v>22754</v>
      </c>
      <c r="C15" s="2">
        <v>22678</v>
      </c>
      <c r="D15" s="2">
        <v>24134</v>
      </c>
      <c r="E15" s="2">
        <v>25949</v>
      </c>
      <c r="F15" s="2">
        <v>31336</v>
      </c>
      <c r="M15" t="s">
        <v>210</v>
      </c>
      <c r="N15" s="2">
        <v>2429</v>
      </c>
      <c r="O15" s="2">
        <v>2078</v>
      </c>
      <c r="P15" s="2">
        <v>2194</v>
      </c>
      <c r="Q15" s="2">
        <v>3089</v>
      </c>
      <c r="R15" s="2">
        <v>3666</v>
      </c>
      <c r="X15" t="s">
        <v>240</v>
      </c>
      <c r="Y15" s="2">
        <v>-1905</v>
      </c>
      <c r="Z15" s="2">
        <v>-1514</v>
      </c>
      <c r="AA15" s="2">
        <v>-1592</v>
      </c>
      <c r="AB15" s="2">
        <v>-2059</v>
      </c>
      <c r="AC15" s="2">
        <v>-2218</v>
      </c>
    </row>
    <row r="16" spans="1:29" x14ac:dyDescent="0.35">
      <c r="A16" t="s">
        <v>191</v>
      </c>
      <c r="B16" s="2">
        <v>57533</v>
      </c>
      <c r="C16" s="2">
        <v>47302</v>
      </c>
      <c r="D16" s="2">
        <v>41877</v>
      </c>
      <c r="E16" s="2">
        <v>42105</v>
      </c>
      <c r="F16" s="2">
        <v>48650</v>
      </c>
      <c r="M16" t="s">
        <v>211</v>
      </c>
      <c r="N16" s="2">
        <v>-19411</v>
      </c>
      <c r="O16" s="2">
        <v>11074</v>
      </c>
      <c r="P16" s="2">
        <v>12504</v>
      </c>
      <c r="Q16" s="2">
        <v>19104</v>
      </c>
      <c r="R16" s="2">
        <v>5308</v>
      </c>
      <c r="X16" t="s">
        <v>241</v>
      </c>
      <c r="Y16" s="2">
        <v>11493</v>
      </c>
      <c r="Z16" s="2">
        <v>5081</v>
      </c>
      <c r="AA16" s="2">
        <v>1634</v>
      </c>
      <c r="AB16" s="2">
        <v>6088</v>
      </c>
      <c r="AC16" s="2">
        <v>8341</v>
      </c>
    </row>
    <row r="17" spans="1:29" x14ac:dyDescent="0.35">
      <c r="A17" t="s">
        <v>192</v>
      </c>
      <c r="B17" s="2">
        <v>34779</v>
      </c>
      <c r="C17" s="2">
        <v>24624</v>
      </c>
      <c r="D17" s="2">
        <v>17743</v>
      </c>
      <c r="E17" s="2">
        <v>16156</v>
      </c>
      <c r="F17" s="2">
        <v>17314</v>
      </c>
      <c r="M17" t="s">
        <v>212</v>
      </c>
      <c r="N17" s="2">
        <v>-3244</v>
      </c>
      <c r="O17" s="2">
        <v>4902</v>
      </c>
      <c r="P17" s="2">
        <v>13606</v>
      </c>
      <c r="Q17" s="2">
        <v>6330</v>
      </c>
      <c r="R17" s="2">
        <v>4347</v>
      </c>
      <c r="X17" t="s">
        <v>242</v>
      </c>
      <c r="Y17" s="2">
        <v>-9499</v>
      </c>
      <c r="Z17" s="2">
        <v>-12221</v>
      </c>
      <c r="AA17" s="2">
        <v>-9494</v>
      </c>
      <c r="AB17" s="2">
        <v>-3139</v>
      </c>
      <c r="AC17" s="2">
        <v>-2325</v>
      </c>
    </row>
    <row r="18" spans="1:29" x14ac:dyDescent="0.35">
      <c r="A18" t="s">
        <v>193</v>
      </c>
      <c r="B18" s="2">
        <v>12340</v>
      </c>
      <c r="C18" s="2">
        <v>17526</v>
      </c>
      <c r="D18" s="2">
        <v>23213</v>
      </c>
      <c r="E18" s="2">
        <v>17927</v>
      </c>
      <c r="F18" s="2">
        <v>18569</v>
      </c>
      <c r="M18" t="s">
        <v>213</v>
      </c>
      <c r="N18" s="2">
        <v>-15837</v>
      </c>
      <c r="O18" s="2">
        <v>5501</v>
      </c>
      <c r="P18" s="2">
        <v>-2020</v>
      </c>
      <c r="Q18" s="2">
        <v>12257</v>
      </c>
      <c r="R18">
        <v>305</v>
      </c>
      <c r="X18" t="s">
        <v>243</v>
      </c>
      <c r="Y18" s="2">
        <v>9251</v>
      </c>
      <c r="Z18">
        <v>672</v>
      </c>
      <c r="AA18">
        <v>300</v>
      </c>
      <c r="AB18">
        <v>141</v>
      </c>
      <c r="AC18" s="2">
        <v>3389</v>
      </c>
    </row>
    <row r="19" spans="1:29" x14ac:dyDescent="0.35">
      <c r="A19" t="s">
        <v>194</v>
      </c>
      <c r="B19" s="2">
        <v>9454</v>
      </c>
      <c r="C19" s="2">
        <v>16488</v>
      </c>
      <c r="D19" s="2">
        <v>23336</v>
      </c>
      <c r="E19" s="2">
        <v>19778</v>
      </c>
      <c r="F19" s="2">
        <v>17312</v>
      </c>
      <c r="M19" t="s">
        <v>214</v>
      </c>
      <c r="N19">
        <v>-0.78</v>
      </c>
      <c r="O19">
        <v>0.27</v>
      </c>
      <c r="P19">
        <v>-0.11</v>
      </c>
      <c r="Q19">
        <v>0.71</v>
      </c>
      <c r="R19">
        <v>0.02</v>
      </c>
      <c r="X19" t="s">
        <v>244</v>
      </c>
      <c r="Y19" s="2">
        <v>-4945</v>
      </c>
      <c r="Z19" s="2">
        <v>-3130</v>
      </c>
      <c r="AA19" s="2">
        <v>-3537</v>
      </c>
      <c r="AB19" s="2">
        <v>-3868</v>
      </c>
      <c r="AC19" s="2">
        <v>-3916</v>
      </c>
    </row>
    <row r="20" spans="1:29" x14ac:dyDescent="0.35">
      <c r="A20" t="s">
        <v>195</v>
      </c>
      <c r="B20" s="2">
        <v>16936</v>
      </c>
      <c r="C20" s="2">
        <v>27590</v>
      </c>
      <c r="D20" s="2">
        <v>39026</v>
      </c>
      <c r="E20" s="2">
        <v>33315</v>
      </c>
      <c r="F20" s="2">
        <v>30882</v>
      </c>
      <c r="M20" t="s">
        <v>215</v>
      </c>
      <c r="N20">
        <v>-0.78</v>
      </c>
      <c r="O20">
        <v>0.27</v>
      </c>
      <c r="P20">
        <v>-0.11</v>
      </c>
      <c r="Q20">
        <v>0.69</v>
      </c>
      <c r="R20">
        <v>0.02</v>
      </c>
      <c r="X20" t="s">
        <v>245</v>
      </c>
      <c r="Y20" s="2">
        <v>3085</v>
      </c>
      <c r="Z20" s="2">
        <v>-13148</v>
      </c>
      <c r="AA20" s="2">
        <v>-22744</v>
      </c>
      <c r="AB20" s="2">
        <v>-10746</v>
      </c>
      <c r="AC20" s="2">
        <v>-5712</v>
      </c>
    </row>
    <row r="21" spans="1:29" x14ac:dyDescent="0.35">
      <c r="A21" t="s">
        <v>196</v>
      </c>
      <c r="B21" s="2">
        <v>83988</v>
      </c>
      <c r="C21" s="2">
        <v>83452</v>
      </c>
      <c r="D21" s="2">
        <v>87661</v>
      </c>
      <c r="E21" s="2">
        <v>82268</v>
      </c>
      <c r="F21" s="2">
        <v>80120</v>
      </c>
      <c r="M21" t="s">
        <v>216</v>
      </c>
      <c r="N21" s="2">
        <v>4945</v>
      </c>
      <c r="O21" s="2">
        <v>3130</v>
      </c>
      <c r="P21" s="2">
        <v>3537</v>
      </c>
      <c r="Q21" s="2">
        <v>3868</v>
      </c>
      <c r="R21" s="2">
        <v>3916</v>
      </c>
      <c r="X21" t="s">
        <v>246</v>
      </c>
      <c r="Y21" s="2">
        <v>16435</v>
      </c>
      <c r="Z21" s="2">
        <v>22996</v>
      </c>
      <c r="AA21" s="2">
        <v>25362</v>
      </c>
      <c r="AB21" s="2">
        <v>22936</v>
      </c>
      <c r="AC21" s="2">
        <v>26401</v>
      </c>
    </row>
    <row r="22" spans="1:29" x14ac:dyDescent="0.35">
      <c r="A22" t="s">
        <v>197</v>
      </c>
      <c r="B22" s="2">
        <v>9128</v>
      </c>
      <c r="C22" s="2">
        <v>9146</v>
      </c>
      <c r="D22" s="2">
        <v>9887</v>
      </c>
      <c r="E22" s="2">
        <v>9798</v>
      </c>
      <c r="F22" s="2">
        <v>11900</v>
      </c>
      <c r="X22" t="s">
        <v>247</v>
      </c>
      <c r="Y22" s="2">
        <v>22754</v>
      </c>
      <c r="Z22" s="2">
        <v>22678</v>
      </c>
      <c r="AA22" s="2">
        <v>24134</v>
      </c>
      <c r="AB22" s="2">
        <v>25949</v>
      </c>
      <c r="AC22" s="2">
        <v>31336</v>
      </c>
    </row>
    <row r="23" spans="1:29" x14ac:dyDescent="0.35">
      <c r="A23" t="s">
        <v>198</v>
      </c>
      <c r="B23" s="2">
        <v>4456</v>
      </c>
      <c r="C23" s="2">
        <v>4768</v>
      </c>
      <c r="D23" s="2">
        <v>8432</v>
      </c>
      <c r="E23" s="2">
        <v>7849</v>
      </c>
      <c r="F23" s="2">
        <v>7710</v>
      </c>
    </row>
    <row r="27" spans="1:29" x14ac:dyDescent="0.35">
      <c r="A27" s="3" t="s">
        <v>199</v>
      </c>
      <c r="B27" s="3"/>
      <c r="C27" s="3"/>
      <c r="D27" s="3"/>
      <c r="E27" s="3"/>
      <c r="F27" s="3"/>
      <c r="M27" s="3" t="s">
        <v>217</v>
      </c>
      <c r="N27" s="3"/>
      <c r="O27" s="3"/>
      <c r="P27" s="3"/>
      <c r="X27" s="3" t="s">
        <v>248</v>
      </c>
      <c r="Y27" s="3"/>
      <c r="Z27" s="3"/>
      <c r="AA27" s="3"/>
      <c r="AB27" s="3"/>
      <c r="AC27" s="3"/>
    </row>
    <row r="28" spans="1:29" x14ac:dyDescent="0.35">
      <c r="A28" s="3" t="s">
        <v>89</v>
      </c>
      <c r="B28" s="3">
        <v>2020</v>
      </c>
      <c r="C28" s="3">
        <v>2021</v>
      </c>
      <c r="D28" s="3">
        <v>2022</v>
      </c>
      <c r="E28" s="3">
        <v>2023</v>
      </c>
      <c r="F28" s="3">
        <v>2024</v>
      </c>
      <c r="M28" t="s">
        <v>89</v>
      </c>
      <c r="N28">
        <v>2020</v>
      </c>
      <c r="O28">
        <v>2021</v>
      </c>
      <c r="P28">
        <v>2022</v>
      </c>
      <c r="Q28">
        <v>2023</v>
      </c>
      <c r="R28">
        <v>2024</v>
      </c>
      <c r="X28" s="3" t="s">
        <v>89</v>
      </c>
      <c r="Y28" s="3">
        <v>2020</v>
      </c>
      <c r="Z28" s="3">
        <v>2021</v>
      </c>
      <c r="AA28" s="3">
        <v>2022</v>
      </c>
      <c r="AB28" s="3">
        <v>2023</v>
      </c>
      <c r="AC28" s="3">
        <v>2024</v>
      </c>
    </row>
    <row r="29" spans="1:29" x14ac:dyDescent="0.35">
      <c r="A29" t="s">
        <v>181</v>
      </c>
      <c r="B29" s="2">
        <v>6935</v>
      </c>
      <c r="C29" s="2">
        <v>10721</v>
      </c>
      <c r="D29" s="2">
        <v>10388</v>
      </c>
      <c r="E29" s="2">
        <v>7790</v>
      </c>
      <c r="F29" s="2">
        <v>24200</v>
      </c>
      <c r="M29" t="s">
        <v>218</v>
      </c>
      <c r="N29" s="2">
        <v>1883</v>
      </c>
      <c r="O29" s="2">
        <v>2530</v>
      </c>
      <c r="P29" s="2">
        <v>4375</v>
      </c>
      <c r="Q29" s="2">
        <v>2988</v>
      </c>
      <c r="R29" s="2">
        <v>4820</v>
      </c>
      <c r="X29" t="s">
        <v>249</v>
      </c>
      <c r="Y29" s="2">
        <v>1071</v>
      </c>
      <c r="Z29" s="2">
        <v>1174</v>
      </c>
      <c r="AA29" s="2">
        <v>2540</v>
      </c>
      <c r="AB29" s="2">
        <v>1725</v>
      </c>
      <c r="AC29" s="2">
        <v>1264</v>
      </c>
    </row>
    <row r="30" spans="1:29" x14ac:dyDescent="0.35">
      <c r="A30" t="s">
        <v>182</v>
      </c>
      <c r="B30">
        <v>943</v>
      </c>
      <c r="C30" s="2">
        <v>1696</v>
      </c>
      <c r="D30" s="2">
        <v>1758</v>
      </c>
      <c r="E30" s="2">
        <v>1215</v>
      </c>
      <c r="F30" s="2">
        <v>3131</v>
      </c>
      <c r="M30" t="s">
        <v>219</v>
      </c>
      <c r="N30" s="2">
        <v>1441</v>
      </c>
      <c r="O30" s="2">
        <v>1784</v>
      </c>
      <c r="P30" s="2">
        <v>2309</v>
      </c>
      <c r="Q30" s="2">
        <v>1911</v>
      </c>
      <c r="R30" s="2">
        <v>2828</v>
      </c>
      <c r="X30" t="s">
        <v>250</v>
      </c>
      <c r="Y30">
        <v>-69</v>
      </c>
      <c r="Z30">
        <v>-128</v>
      </c>
      <c r="AA30">
        <v>-103</v>
      </c>
      <c r="AB30">
        <v>-163</v>
      </c>
      <c r="AC30">
        <v>-281</v>
      </c>
    </row>
    <row r="31" spans="1:29" x14ac:dyDescent="0.35">
      <c r="A31" t="s">
        <v>183</v>
      </c>
      <c r="B31" s="2">
        <v>5992</v>
      </c>
      <c r="C31" s="2">
        <v>9025</v>
      </c>
      <c r="D31" s="2">
        <v>8630</v>
      </c>
      <c r="E31" s="2">
        <v>6576</v>
      </c>
      <c r="F31" s="2">
        <v>21070</v>
      </c>
      <c r="M31" t="s">
        <v>220</v>
      </c>
      <c r="N31">
        <v>442</v>
      </c>
      <c r="O31">
        <v>746</v>
      </c>
      <c r="P31" s="2">
        <v>2066</v>
      </c>
      <c r="Q31" s="2">
        <v>1077</v>
      </c>
      <c r="R31" s="2">
        <v>1992</v>
      </c>
      <c r="X31" t="s">
        <v>251</v>
      </c>
      <c r="Y31">
        <v>0</v>
      </c>
      <c r="Z31">
        <v>-318</v>
      </c>
      <c r="AA31">
        <v>-387</v>
      </c>
      <c r="AB31">
        <v>-399</v>
      </c>
      <c r="AC31">
        <v>-692</v>
      </c>
    </row>
    <row r="32" spans="1:29" x14ac:dyDescent="0.35">
      <c r="A32" t="s">
        <v>184</v>
      </c>
      <c r="B32" s="2">
        <v>6155</v>
      </c>
      <c r="C32" s="2">
        <v>10371</v>
      </c>
      <c r="D32" s="2">
        <v>9543</v>
      </c>
      <c r="E32" s="2">
        <v>6570</v>
      </c>
      <c r="F32" s="2">
        <v>19204</v>
      </c>
      <c r="M32" t="s">
        <v>221</v>
      </c>
      <c r="N32">
        <v>10</v>
      </c>
      <c r="O32">
        <v>36</v>
      </c>
      <c r="P32">
        <v>34</v>
      </c>
      <c r="Q32">
        <v>29</v>
      </c>
      <c r="R32">
        <v>53</v>
      </c>
      <c r="X32" t="s">
        <v>252</v>
      </c>
      <c r="Y32">
        <v>-41</v>
      </c>
      <c r="Z32">
        <v>-22</v>
      </c>
      <c r="AA32">
        <v>-24</v>
      </c>
      <c r="AB32">
        <v>-16</v>
      </c>
      <c r="AC32">
        <v>-33</v>
      </c>
    </row>
    <row r="33" spans="1:29" x14ac:dyDescent="0.35">
      <c r="A33" t="s">
        <v>185</v>
      </c>
      <c r="B33">
        <v>760</v>
      </c>
      <c r="C33" s="2">
        <v>3032</v>
      </c>
      <c r="D33" s="2">
        <v>3385</v>
      </c>
      <c r="E33" s="2">
        <v>1584</v>
      </c>
      <c r="F33" s="2">
        <v>4487</v>
      </c>
      <c r="M33" t="s">
        <v>222</v>
      </c>
      <c r="N33">
        <v>502</v>
      </c>
      <c r="O33">
        <v>85</v>
      </c>
      <c r="P33">
        <v>-138</v>
      </c>
      <c r="Q33">
        <v>142</v>
      </c>
      <c r="R33">
        <v>276</v>
      </c>
      <c r="X33" t="s">
        <v>253</v>
      </c>
      <c r="Y33">
        <v>0</v>
      </c>
      <c r="Z33">
        <v>0</v>
      </c>
      <c r="AA33">
        <v>0</v>
      </c>
      <c r="AB33">
        <v>0</v>
      </c>
      <c r="AC33">
        <v>-817</v>
      </c>
    </row>
    <row r="34" spans="1:29" x14ac:dyDescent="0.35">
      <c r="A34" t="s">
        <v>186</v>
      </c>
      <c r="B34" s="2">
        <v>5394</v>
      </c>
      <c r="C34" s="2">
        <v>7339</v>
      </c>
      <c r="D34" s="2">
        <v>6158</v>
      </c>
      <c r="E34" s="2">
        <v>4986</v>
      </c>
      <c r="F34" s="2">
        <v>14717</v>
      </c>
      <c r="M34" t="s">
        <v>223</v>
      </c>
      <c r="N34">
        <v>38</v>
      </c>
      <c r="O34">
        <v>75</v>
      </c>
      <c r="P34">
        <v>98</v>
      </c>
      <c r="Q34">
        <v>120</v>
      </c>
      <c r="R34">
        <v>276</v>
      </c>
      <c r="X34" t="s">
        <v>254</v>
      </c>
      <c r="Y34">
        <v>6</v>
      </c>
      <c r="Z34">
        <v>10</v>
      </c>
      <c r="AA34">
        <v>16</v>
      </c>
      <c r="AB34">
        <v>75</v>
      </c>
      <c r="AC34">
        <v>59</v>
      </c>
    </row>
    <row r="35" spans="1:29" x14ac:dyDescent="0.35">
      <c r="A35" t="s">
        <v>187</v>
      </c>
      <c r="B35">
        <v>781</v>
      </c>
      <c r="C35">
        <v>350</v>
      </c>
      <c r="D35">
        <v>844</v>
      </c>
      <c r="E35" s="2">
        <v>1220</v>
      </c>
      <c r="F35" s="2">
        <v>4996</v>
      </c>
      <c r="M35" t="s">
        <v>224</v>
      </c>
      <c r="N35">
        <v>125</v>
      </c>
      <c r="O35">
        <v>186</v>
      </c>
      <c r="P35">
        <v>52</v>
      </c>
      <c r="Q35">
        <v>46</v>
      </c>
      <c r="R35">
        <v>135</v>
      </c>
      <c r="X35" t="s">
        <v>255</v>
      </c>
      <c r="Y35">
        <v>-471</v>
      </c>
      <c r="Z35">
        <v>-415</v>
      </c>
      <c r="AA35">
        <v>-510</v>
      </c>
      <c r="AB35">
        <v>-558</v>
      </c>
      <c r="AC35" s="2">
        <v>-1782</v>
      </c>
    </row>
    <row r="36" spans="1:29" x14ac:dyDescent="0.35">
      <c r="A36" t="s">
        <v>190</v>
      </c>
      <c r="B36">
        <v>326</v>
      </c>
      <c r="C36">
        <v>516</v>
      </c>
      <c r="D36">
        <v>413</v>
      </c>
      <c r="E36">
        <v>225</v>
      </c>
      <c r="F36">
        <v>643</v>
      </c>
      <c r="M36" t="s">
        <v>225</v>
      </c>
      <c r="N36">
        <v>-536</v>
      </c>
      <c r="O36">
        <v>466</v>
      </c>
      <c r="P36" s="2">
        <v>2062</v>
      </c>
      <c r="Q36">
        <v>750</v>
      </c>
      <c r="R36" s="2">
        <v>1290</v>
      </c>
      <c r="X36" t="s">
        <v>256</v>
      </c>
      <c r="Y36">
        <v>-115</v>
      </c>
      <c r="Z36">
        <v>-149</v>
      </c>
      <c r="AA36">
        <v>-115</v>
      </c>
      <c r="AB36">
        <v>-121</v>
      </c>
      <c r="AC36">
        <v>-142</v>
      </c>
    </row>
    <row r="37" spans="1:29" x14ac:dyDescent="0.35">
      <c r="A37" t="s">
        <v>191</v>
      </c>
      <c r="B37" s="2">
        <v>2043</v>
      </c>
      <c r="C37" s="2">
        <v>2601</v>
      </c>
      <c r="D37" s="2">
        <v>1392</v>
      </c>
      <c r="E37">
        <v>13</v>
      </c>
      <c r="F37">
        <v>811</v>
      </c>
      <c r="M37" t="s">
        <v>226</v>
      </c>
      <c r="N37">
        <v>9</v>
      </c>
      <c r="O37">
        <v>35</v>
      </c>
      <c r="P37">
        <v>227</v>
      </c>
      <c r="Q37">
        <v>84</v>
      </c>
      <c r="R37">
        <v>135</v>
      </c>
      <c r="X37" t="s">
        <v>257</v>
      </c>
      <c r="Y37">
        <v>0</v>
      </c>
      <c r="Z37">
        <v>0</v>
      </c>
      <c r="AA37">
        <v>-155</v>
      </c>
      <c r="AB37">
        <v>-153</v>
      </c>
      <c r="AC37">
        <v>-156</v>
      </c>
    </row>
    <row r="38" spans="1:29" x14ac:dyDescent="0.35">
      <c r="A38" t="s">
        <v>192</v>
      </c>
      <c r="B38" s="2">
        <v>1717</v>
      </c>
      <c r="C38" s="2">
        <v>2085</v>
      </c>
      <c r="D38">
        <v>979</v>
      </c>
      <c r="E38">
        <v>-212</v>
      </c>
      <c r="F38">
        <v>167</v>
      </c>
      <c r="M38" t="s">
        <v>227</v>
      </c>
      <c r="N38">
        <v>235</v>
      </c>
      <c r="O38">
        <v>272</v>
      </c>
      <c r="P38">
        <v>291</v>
      </c>
      <c r="Q38">
        <v>338</v>
      </c>
      <c r="R38">
        <v>471</v>
      </c>
      <c r="X38" t="s">
        <v>258</v>
      </c>
      <c r="Y38">
        <v>0</v>
      </c>
      <c r="Z38">
        <v>-507</v>
      </c>
      <c r="AA38" s="2">
        <v>-1349</v>
      </c>
      <c r="AB38" s="2">
        <v>-1154</v>
      </c>
      <c r="AC38">
        <v>-139</v>
      </c>
    </row>
    <row r="39" spans="1:29" x14ac:dyDescent="0.35">
      <c r="A39" t="s">
        <v>193</v>
      </c>
      <c r="B39">
        <v>117</v>
      </c>
      <c r="C39">
        <v>156</v>
      </c>
      <c r="D39">
        <v>118</v>
      </c>
      <c r="E39">
        <v>171</v>
      </c>
      <c r="F39">
        <v>294</v>
      </c>
      <c r="M39" t="s">
        <v>211</v>
      </c>
      <c r="N39">
        <v>-763</v>
      </c>
      <c r="O39">
        <v>229</v>
      </c>
      <c r="P39" s="2">
        <v>1998</v>
      </c>
      <c r="Q39">
        <v>496</v>
      </c>
      <c r="R39">
        <v>954</v>
      </c>
      <c r="X39" t="s">
        <v>259</v>
      </c>
      <c r="Y39">
        <v>0</v>
      </c>
      <c r="Z39">
        <v>0</v>
      </c>
      <c r="AA39">
        <v>0</v>
      </c>
      <c r="AB39">
        <v>0</v>
      </c>
      <c r="AC39" s="2">
        <v>-1546</v>
      </c>
    </row>
    <row r="40" spans="1:29" x14ac:dyDescent="0.35">
      <c r="A40" t="s">
        <v>194</v>
      </c>
      <c r="B40">
        <v>337</v>
      </c>
      <c r="C40">
        <v>992</v>
      </c>
      <c r="D40" s="2">
        <v>1160</v>
      </c>
      <c r="E40">
        <v>686</v>
      </c>
      <c r="F40" s="2">
        <v>1856</v>
      </c>
      <c r="M40" t="s">
        <v>228</v>
      </c>
      <c r="N40">
        <v>-155</v>
      </c>
      <c r="O40">
        <v>155</v>
      </c>
      <c r="P40" s="2">
        <v>1992</v>
      </c>
      <c r="Q40">
        <v>459</v>
      </c>
      <c r="R40" s="2">
        <v>1027</v>
      </c>
      <c r="X40" t="s">
        <v>260</v>
      </c>
      <c r="Y40">
        <v>0</v>
      </c>
      <c r="Z40">
        <v>0</v>
      </c>
      <c r="AA40">
        <v>0</v>
      </c>
      <c r="AB40">
        <v>0</v>
      </c>
      <c r="AC40" s="2">
        <v>1346</v>
      </c>
    </row>
    <row r="41" spans="1:29" x14ac:dyDescent="0.35">
      <c r="A41" t="s">
        <v>195</v>
      </c>
      <c r="B41">
        <v>395</v>
      </c>
      <c r="C41">
        <v>646</v>
      </c>
      <c r="D41" s="2">
        <v>1034</v>
      </c>
      <c r="E41">
        <v>719</v>
      </c>
      <c r="F41" s="2">
        <v>1403</v>
      </c>
      <c r="M41" t="s">
        <v>229</v>
      </c>
      <c r="N41">
        <v>-607</v>
      </c>
      <c r="O41">
        <v>74</v>
      </c>
      <c r="P41">
        <v>7</v>
      </c>
      <c r="Q41">
        <v>36</v>
      </c>
      <c r="R41">
        <v>-73</v>
      </c>
      <c r="X41" t="s">
        <v>261</v>
      </c>
      <c r="Y41">
        <v>123</v>
      </c>
      <c r="Z41" s="2">
        <v>1176</v>
      </c>
      <c r="AA41">
        <v>0</v>
      </c>
      <c r="AB41">
        <v>531</v>
      </c>
      <c r="AC41" s="2">
        <v>1881</v>
      </c>
    </row>
    <row r="42" spans="1:29" x14ac:dyDescent="0.35">
      <c r="A42" t="s">
        <v>196</v>
      </c>
      <c r="B42" s="2">
        <v>4770</v>
      </c>
      <c r="C42" s="2">
        <v>5356</v>
      </c>
      <c r="D42" s="2">
        <v>4704</v>
      </c>
      <c r="E42" s="2">
        <v>3799</v>
      </c>
      <c r="F42" s="2">
        <v>11652</v>
      </c>
      <c r="M42" t="s">
        <v>214</v>
      </c>
      <c r="N42">
        <v>-17.22</v>
      </c>
      <c r="O42">
        <v>0.08</v>
      </c>
      <c r="P42">
        <v>0.01</v>
      </c>
      <c r="Q42">
        <v>0.05</v>
      </c>
      <c r="R42">
        <v>-0.08</v>
      </c>
      <c r="X42" t="s">
        <v>262</v>
      </c>
      <c r="Y42">
        <v>-47</v>
      </c>
      <c r="Z42">
        <v>-117</v>
      </c>
      <c r="AA42">
        <v>-206</v>
      </c>
      <c r="AB42">
        <v>-208</v>
      </c>
      <c r="AC42">
        <v>-207</v>
      </c>
    </row>
    <row r="43" spans="1:29" x14ac:dyDescent="0.35">
      <c r="A43" t="s">
        <v>197</v>
      </c>
      <c r="B43">
        <v>724</v>
      </c>
      <c r="C43">
        <v>981</v>
      </c>
      <c r="D43" s="2">
        <v>1097</v>
      </c>
      <c r="E43" s="2">
        <v>1023</v>
      </c>
      <c r="F43" s="2">
        <v>4046</v>
      </c>
      <c r="M43" t="s">
        <v>215</v>
      </c>
      <c r="N43">
        <v>-17.22</v>
      </c>
      <c r="O43">
        <v>0.08</v>
      </c>
      <c r="P43">
        <v>0.01</v>
      </c>
      <c r="Q43">
        <v>0.05</v>
      </c>
      <c r="R43">
        <v>-0.08</v>
      </c>
      <c r="X43" t="s">
        <v>245</v>
      </c>
      <c r="Y43">
        <v>-702</v>
      </c>
      <c r="Z43">
        <v>-573</v>
      </c>
      <c r="AA43" s="2">
        <v>-2171</v>
      </c>
      <c r="AB43" s="2">
        <v>-1341</v>
      </c>
      <c r="AC43">
        <v>962</v>
      </c>
    </row>
    <row r="44" spans="1:29" x14ac:dyDescent="0.35">
      <c r="A44" t="s">
        <v>198</v>
      </c>
      <c r="B44">
        <v>332</v>
      </c>
      <c r="C44">
        <v>646</v>
      </c>
      <c r="D44">
        <v>728</v>
      </c>
      <c r="E44">
        <v>921</v>
      </c>
      <c r="F44" s="2">
        <v>4567</v>
      </c>
      <c r="M44" t="s">
        <v>216</v>
      </c>
      <c r="N44">
        <v>0</v>
      </c>
      <c r="O44">
        <v>0</v>
      </c>
      <c r="P44">
        <v>155</v>
      </c>
      <c r="Q44">
        <v>153</v>
      </c>
      <c r="R44">
        <v>156</v>
      </c>
      <c r="X44" t="s">
        <v>263</v>
      </c>
      <c r="Y44">
        <v>419</v>
      </c>
      <c r="Z44">
        <v>329</v>
      </c>
      <c r="AA44">
        <v>578</v>
      </c>
      <c r="AB44">
        <v>393</v>
      </c>
      <c r="AC44">
        <v>229</v>
      </c>
    </row>
    <row r="45" spans="1:29" x14ac:dyDescent="0.35">
      <c r="X45" t="s">
        <v>264</v>
      </c>
      <c r="Y45">
        <v>326</v>
      </c>
      <c r="Z45">
        <v>516</v>
      </c>
      <c r="AA45">
        <v>413</v>
      </c>
      <c r="AB45">
        <v>225</v>
      </c>
      <c r="AC45">
        <v>643</v>
      </c>
    </row>
    <row r="48" spans="1:29" x14ac:dyDescent="0.35">
      <c r="A48" s="3" t="s">
        <v>266</v>
      </c>
      <c r="B48" s="3" t="s">
        <v>89</v>
      </c>
      <c r="C48" s="3">
        <v>2020</v>
      </c>
      <c r="D48" s="3">
        <v>2021</v>
      </c>
      <c r="E48" s="3">
        <v>2022</v>
      </c>
      <c r="F48" s="3">
        <v>2023</v>
      </c>
      <c r="G48" s="3">
        <v>2024</v>
      </c>
      <c r="M48" s="3" t="s">
        <v>266</v>
      </c>
      <c r="N48" s="3" t="s">
        <v>89</v>
      </c>
      <c r="O48" s="3">
        <v>2020</v>
      </c>
      <c r="P48" s="3">
        <v>2021</v>
      </c>
      <c r="Q48" s="3">
        <v>2022</v>
      </c>
      <c r="R48" s="3">
        <v>2023</v>
      </c>
      <c r="S48" s="3">
        <v>2024</v>
      </c>
    </row>
    <row r="49" spans="1:19" x14ac:dyDescent="0.35">
      <c r="A49" t="s">
        <v>0</v>
      </c>
      <c r="B49" t="s">
        <v>181</v>
      </c>
      <c r="C49" s="2">
        <v>195754</v>
      </c>
      <c r="D49" s="2">
        <v>212337</v>
      </c>
      <c r="E49" s="2">
        <v>238174</v>
      </c>
      <c r="F49" s="2">
        <v>220202</v>
      </c>
      <c r="G49" s="2">
        <v>225585</v>
      </c>
      <c r="M49" t="s">
        <v>0</v>
      </c>
      <c r="N49" t="s">
        <v>218</v>
      </c>
      <c r="O49" s="2">
        <v>82630</v>
      </c>
      <c r="P49" s="2">
        <v>114714</v>
      </c>
      <c r="Q49" s="2">
        <v>195936</v>
      </c>
      <c r="R49" s="2">
        <v>169027</v>
      </c>
      <c r="S49" s="2">
        <v>148079</v>
      </c>
    </row>
    <row r="50" spans="1:19" x14ac:dyDescent="0.35">
      <c r="A50" t="s">
        <v>0</v>
      </c>
      <c r="B50" t="s">
        <v>184</v>
      </c>
      <c r="C50" s="2">
        <v>133172</v>
      </c>
      <c r="D50" s="2">
        <v>145489</v>
      </c>
      <c r="E50" s="2">
        <v>169571</v>
      </c>
      <c r="F50" s="2">
        <v>153038</v>
      </c>
      <c r="G50" s="2">
        <v>162985</v>
      </c>
      <c r="M50" t="s">
        <v>0</v>
      </c>
      <c r="N50" t="s">
        <v>229</v>
      </c>
      <c r="O50" s="2">
        <v>-15837</v>
      </c>
      <c r="P50" s="2">
        <v>5501</v>
      </c>
      <c r="Q50" s="2">
        <v>-2020</v>
      </c>
      <c r="R50" s="2">
        <v>12257</v>
      </c>
      <c r="S50">
        <v>305</v>
      </c>
    </row>
    <row r="51" spans="1:19" x14ac:dyDescent="0.35">
      <c r="A51" s="3" t="s">
        <v>266</v>
      </c>
      <c r="B51" s="3" t="s">
        <v>89</v>
      </c>
      <c r="C51" s="3">
        <v>2020</v>
      </c>
      <c r="D51" s="3">
        <v>2021</v>
      </c>
      <c r="E51" s="3">
        <v>2022</v>
      </c>
      <c r="F51" s="3">
        <v>2023</v>
      </c>
      <c r="G51" s="3">
        <v>2024</v>
      </c>
      <c r="M51" t="s">
        <v>6</v>
      </c>
      <c r="N51" t="s">
        <v>218</v>
      </c>
      <c r="O51" s="2">
        <v>1883</v>
      </c>
      <c r="P51" s="2">
        <v>2530</v>
      </c>
      <c r="Q51" s="2">
        <v>4375</v>
      </c>
      <c r="R51" s="2">
        <v>2988</v>
      </c>
      <c r="S51" s="2">
        <v>4820</v>
      </c>
    </row>
    <row r="52" spans="1:19" x14ac:dyDescent="0.35">
      <c r="A52" t="s">
        <v>6</v>
      </c>
      <c r="B52" t="s">
        <v>181</v>
      </c>
      <c r="C52" s="2">
        <v>6935</v>
      </c>
      <c r="D52" s="2">
        <v>10721</v>
      </c>
      <c r="E52" s="2">
        <v>10388</v>
      </c>
      <c r="F52" s="2">
        <v>7790</v>
      </c>
      <c r="G52" s="2">
        <v>24200</v>
      </c>
      <c r="M52" t="s">
        <v>6</v>
      </c>
      <c r="N52" t="s">
        <v>229</v>
      </c>
      <c r="O52">
        <v>-607</v>
      </c>
      <c r="P52">
        <v>74</v>
      </c>
      <c r="Q52">
        <v>7</v>
      </c>
      <c r="R52">
        <v>36</v>
      </c>
      <c r="S52">
        <v>-73</v>
      </c>
    </row>
    <row r="53" spans="1:19" x14ac:dyDescent="0.35">
      <c r="A53" t="s">
        <v>6</v>
      </c>
      <c r="B53" t="s">
        <v>184</v>
      </c>
      <c r="C53" s="2">
        <v>6155</v>
      </c>
      <c r="D53" s="2">
        <v>10371</v>
      </c>
      <c r="E53" s="2">
        <v>9543</v>
      </c>
      <c r="F53" s="2">
        <v>6570</v>
      </c>
      <c r="G53" s="2">
        <v>19204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APPENDIX A</vt:lpstr>
      <vt:lpstr>APPENDIX B</vt:lpstr>
      <vt:lpstr>APPENDIX C</vt:lpstr>
      <vt:lpstr>APPENDIX D</vt:lpstr>
      <vt:lpstr>APPENDIX E</vt:lpstr>
      <vt:lpstr>APPENDIX F</vt:lpstr>
      <vt:lpstr>APPENDIX G</vt:lpstr>
      <vt:lpstr>APPENDIX H</vt:lpstr>
      <vt:lpstr>APPENDIX I</vt:lpstr>
      <vt:lpstr>APPENDIX J</vt:lpstr>
      <vt:lpstr>APPENDIX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2026-05-13T06:49:24Z</dcterms:created>
  <dcterms:modified xsi:type="dcterms:W3CDTF">2026-05-19T08:24:07Z</dcterms:modified>
</cp:coreProperties>
</file>